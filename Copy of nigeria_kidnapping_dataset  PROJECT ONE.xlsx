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E:\New folder\Desktop\"/>
    </mc:Choice>
  </mc:AlternateContent>
  <xr:revisionPtr revIDLastSave="0" documentId="8_{834C21F8-C8CD-4E06-B878-D324BA2E9FCA}" xr6:coauthVersionLast="47" xr6:coauthVersionMax="47" xr10:uidLastSave="{00000000-0000-0000-0000-000000000000}"/>
  <bookViews>
    <workbookView xWindow="-120" yWindow="-120" windowWidth="20730" windowHeight="11040" activeTab="4" xr2:uid="{00000000-000D-0000-FFFF-FFFF00000000}"/>
  </bookViews>
  <sheets>
    <sheet name="raw_data" sheetId="1" r:id="rId1"/>
    <sheet name="Clean_data" sheetId="2" r:id="rId2"/>
    <sheet name="Analysis" sheetId="3" r:id="rId3"/>
    <sheet name="Dashbord" sheetId="7" r:id="rId4"/>
    <sheet name="Key Insight and Recommendation" sheetId="9" r:id="rId5"/>
  </sheets>
  <definedNames>
    <definedName name="_xlnm._FilterDatabase" localSheetId="1" hidden="1">Clean_data!$A$2:$Q$201</definedName>
    <definedName name="DEMANDED">Analysis!$K$16</definedName>
    <definedName name="GAP">Analysis!$J$23</definedName>
    <definedName name="NativeTimeline_Date">#N/A</definedName>
    <definedName name="PAID">Analysis!$J$22</definedName>
    <definedName name="Slicer_Region">#N/A</definedName>
    <definedName name="Slicer_Urban_Rural">#N/A</definedName>
    <definedName name="Slicer_Year">#N/A</definedName>
    <definedName name="total">Analysis!$L$13</definedName>
    <definedName name="VICTIMS_COUNT">Analysis!$K$13</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9" i="3" l="1"/>
  <c r="J21" i="3"/>
  <c r="J22" i="3"/>
  <c r="K201" i="2"/>
  <c r="D201" i="2"/>
  <c r="C201" i="2"/>
  <c r="K200" i="2"/>
  <c r="D200" i="2"/>
  <c r="C200" i="2"/>
  <c r="K199" i="2"/>
  <c r="D199" i="2"/>
  <c r="C199" i="2"/>
  <c r="K198" i="2"/>
  <c r="D198" i="2"/>
  <c r="C198" i="2"/>
  <c r="K197" i="2"/>
  <c r="D197" i="2"/>
  <c r="C197" i="2"/>
  <c r="K196" i="2"/>
  <c r="D196" i="2"/>
  <c r="C196" i="2"/>
  <c r="K195" i="2"/>
  <c r="D195" i="2"/>
  <c r="C195" i="2"/>
  <c r="K194" i="2"/>
  <c r="D194" i="2"/>
  <c r="C194" i="2"/>
  <c r="K193" i="2"/>
  <c r="D193" i="2"/>
  <c r="C193" i="2"/>
  <c r="K192" i="2"/>
  <c r="D192" i="2"/>
  <c r="C192" i="2"/>
  <c r="K191" i="2"/>
  <c r="D191" i="2"/>
  <c r="C191" i="2"/>
  <c r="K190" i="2"/>
  <c r="D190" i="2"/>
  <c r="C190" i="2"/>
  <c r="K189" i="2"/>
  <c r="D189" i="2"/>
  <c r="C189" i="2"/>
  <c r="K188" i="2"/>
  <c r="D188" i="2"/>
  <c r="C188" i="2"/>
  <c r="K187" i="2"/>
  <c r="D187" i="2"/>
  <c r="C187" i="2"/>
  <c r="K186" i="2"/>
  <c r="D186" i="2"/>
  <c r="C186" i="2"/>
  <c r="K185" i="2"/>
  <c r="D185" i="2"/>
  <c r="C185" i="2"/>
  <c r="K184" i="2"/>
  <c r="D184" i="2"/>
  <c r="C184" i="2"/>
  <c r="K183" i="2"/>
  <c r="D183" i="2"/>
  <c r="C183" i="2"/>
  <c r="K182" i="2"/>
  <c r="D182" i="2"/>
  <c r="C182" i="2"/>
  <c r="K181" i="2"/>
  <c r="D181" i="2"/>
  <c r="C181" i="2"/>
  <c r="K180" i="2"/>
  <c r="D180" i="2"/>
  <c r="C180" i="2"/>
  <c r="K179" i="2"/>
  <c r="D179" i="2"/>
  <c r="C179" i="2"/>
  <c r="K178" i="2"/>
  <c r="D178" i="2"/>
  <c r="C178" i="2"/>
  <c r="K177" i="2"/>
  <c r="D177" i="2"/>
  <c r="C177" i="2"/>
  <c r="K176" i="2"/>
  <c r="D176" i="2"/>
  <c r="C176" i="2"/>
  <c r="K175" i="2"/>
  <c r="D175" i="2"/>
  <c r="C175" i="2"/>
  <c r="K174" i="2"/>
  <c r="D174" i="2"/>
  <c r="C174" i="2"/>
  <c r="K173" i="2"/>
  <c r="D173" i="2"/>
  <c r="C173" i="2"/>
  <c r="K172" i="2"/>
  <c r="D172" i="2"/>
  <c r="C172" i="2"/>
  <c r="K171" i="2"/>
  <c r="D171" i="2"/>
  <c r="C171" i="2"/>
  <c r="K170" i="2"/>
  <c r="D170" i="2"/>
  <c r="C170" i="2"/>
  <c r="K169" i="2"/>
  <c r="D169" i="2"/>
  <c r="C169" i="2"/>
  <c r="K168" i="2"/>
  <c r="D168" i="2"/>
  <c r="C168" i="2"/>
  <c r="K167" i="2"/>
  <c r="D167" i="2"/>
  <c r="C167" i="2"/>
  <c r="K166" i="2"/>
  <c r="D166" i="2"/>
  <c r="C166" i="2"/>
  <c r="K165" i="2"/>
  <c r="D165" i="2"/>
  <c r="C165" i="2"/>
  <c r="K164" i="2"/>
  <c r="D164" i="2"/>
  <c r="C164" i="2"/>
  <c r="K163" i="2"/>
  <c r="D163" i="2"/>
  <c r="C163" i="2"/>
  <c r="K162" i="2"/>
  <c r="D162" i="2"/>
  <c r="C162" i="2"/>
  <c r="K161" i="2"/>
  <c r="D161" i="2"/>
  <c r="C161" i="2"/>
  <c r="K160" i="2"/>
  <c r="D160" i="2"/>
  <c r="C160" i="2"/>
  <c r="K159" i="2"/>
  <c r="D159" i="2"/>
  <c r="C159" i="2"/>
  <c r="K158" i="2"/>
  <c r="D158" i="2"/>
  <c r="C158" i="2"/>
  <c r="K157" i="2"/>
  <c r="D157" i="2"/>
  <c r="C157" i="2"/>
  <c r="K156" i="2"/>
  <c r="D156" i="2"/>
  <c r="C156" i="2"/>
  <c r="K155" i="2"/>
  <c r="D155" i="2"/>
  <c r="C155" i="2"/>
  <c r="K154" i="2"/>
  <c r="D154" i="2"/>
  <c r="C154" i="2"/>
  <c r="K153" i="2"/>
  <c r="D153" i="2"/>
  <c r="C153" i="2"/>
  <c r="K152" i="2"/>
  <c r="D152" i="2"/>
  <c r="C152" i="2"/>
  <c r="K151" i="2"/>
  <c r="D151" i="2"/>
  <c r="C151" i="2"/>
  <c r="K150" i="2"/>
  <c r="D150" i="2"/>
  <c r="C150" i="2"/>
  <c r="K149" i="2"/>
  <c r="D149" i="2"/>
  <c r="C149" i="2"/>
  <c r="K148" i="2"/>
  <c r="D148" i="2"/>
  <c r="C148" i="2"/>
  <c r="K147" i="2"/>
  <c r="D147" i="2"/>
  <c r="C147" i="2"/>
  <c r="K146" i="2"/>
  <c r="D146" i="2"/>
  <c r="C146" i="2"/>
  <c r="K145" i="2"/>
  <c r="D145" i="2"/>
  <c r="C145" i="2"/>
  <c r="K144" i="2"/>
  <c r="D144" i="2"/>
  <c r="C144" i="2"/>
  <c r="K143" i="2"/>
  <c r="D143" i="2"/>
  <c r="C143" i="2"/>
  <c r="K142" i="2"/>
  <c r="D142" i="2"/>
  <c r="C142" i="2"/>
  <c r="K141" i="2"/>
  <c r="D141" i="2"/>
  <c r="C141" i="2"/>
  <c r="K140" i="2"/>
  <c r="D140" i="2"/>
  <c r="C140" i="2"/>
  <c r="K139" i="2"/>
  <c r="D139" i="2"/>
  <c r="C139" i="2"/>
  <c r="K138" i="2"/>
  <c r="D138" i="2"/>
  <c r="C138" i="2"/>
  <c r="K137" i="2"/>
  <c r="D137" i="2"/>
  <c r="C137" i="2"/>
  <c r="K136" i="2"/>
  <c r="D136" i="2"/>
  <c r="C136" i="2"/>
  <c r="K135" i="2"/>
  <c r="D135" i="2"/>
  <c r="C135" i="2"/>
  <c r="K134" i="2"/>
  <c r="D134" i="2"/>
  <c r="C134" i="2"/>
  <c r="K133" i="2"/>
  <c r="D133" i="2"/>
  <c r="C133" i="2"/>
  <c r="K132" i="2"/>
  <c r="D132" i="2"/>
  <c r="C132" i="2"/>
  <c r="K131" i="2"/>
  <c r="D131" i="2"/>
  <c r="C131" i="2"/>
  <c r="K130" i="2"/>
  <c r="D130" i="2"/>
  <c r="C130" i="2"/>
  <c r="K129" i="2"/>
  <c r="D129" i="2"/>
  <c r="C129" i="2"/>
  <c r="K128" i="2"/>
  <c r="D128" i="2"/>
  <c r="C128" i="2"/>
  <c r="K127" i="2"/>
  <c r="D127" i="2"/>
  <c r="C127" i="2"/>
  <c r="K126" i="2"/>
  <c r="D126" i="2"/>
  <c r="C126" i="2"/>
  <c r="K125" i="2"/>
  <c r="D125" i="2"/>
  <c r="C125" i="2"/>
  <c r="K124" i="2"/>
  <c r="D124" i="2"/>
  <c r="C124" i="2"/>
  <c r="K123" i="2"/>
  <c r="D123" i="2"/>
  <c r="C123" i="2"/>
  <c r="K122" i="2"/>
  <c r="D122" i="2"/>
  <c r="C122" i="2"/>
  <c r="K121" i="2"/>
  <c r="D121" i="2"/>
  <c r="C121" i="2"/>
  <c r="K120" i="2"/>
  <c r="D120" i="2"/>
  <c r="C120" i="2"/>
  <c r="K119" i="2"/>
  <c r="D119" i="2"/>
  <c r="C119" i="2"/>
  <c r="K118" i="2"/>
  <c r="D118" i="2"/>
  <c r="C118" i="2"/>
  <c r="K117" i="2"/>
  <c r="D117" i="2"/>
  <c r="C117" i="2"/>
  <c r="K116" i="2"/>
  <c r="D116" i="2"/>
  <c r="C116" i="2"/>
  <c r="K115" i="2"/>
  <c r="D115" i="2"/>
  <c r="C115" i="2"/>
  <c r="K114" i="2"/>
  <c r="D114" i="2"/>
  <c r="C114" i="2"/>
  <c r="K113" i="2"/>
  <c r="D113" i="2"/>
  <c r="C113" i="2"/>
  <c r="K112" i="2"/>
  <c r="D112" i="2"/>
  <c r="C112" i="2"/>
  <c r="K111" i="2"/>
  <c r="D111" i="2"/>
  <c r="C111" i="2"/>
  <c r="K110" i="2"/>
  <c r="D110" i="2"/>
  <c r="C110" i="2"/>
  <c r="K109" i="2"/>
  <c r="D109" i="2"/>
  <c r="C109" i="2"/>
  <c r="K108" i="2"/>
  <c r="D108" i="2"/>
  <c r="C108" i="2"/>
  <c r="K107" i="2"/>
  <c r="D107" i="2"/>
  <c r="C107" i="2"/>
  <c r="K106" i="2"/>
  <c r="D106" i="2"/>
  <c r="C106" i="2"/>
  <c r="K105" i="2"/>
  <c r="D105" i="2"/>
  <c r="C105" i="2"/>
  <c r="K104" i="2"/>
  <c r="D104" i="2"/>
  <c r="C104" i="2"/>
  <c r="K103" i="2"/>
  <c r="D103" i="2"/>
  <c r="C103" i="2"/>
  <c r="K102" i="2"/>
  <c r="D102" i="2"/>
  <c r="C102" i="2"/>
  <c r="K101" i="2"/>
  <c r="D101" i="2"/>
  <c r="C101" i="2"/>
  <c r="K100" i="2"/>
  <c r="D100" i="2"/>
  <c r="C100" i="2"/>
  <c r="K99" i="2"/>
  <c r="D99" i="2"/>
  <c r="C99" i="2"/>
  <c r="K98" i="2"/>
  <c r="D98" i="2"/>
  <c r="C98" i="2"/>
  <c r="K97" i="2"/>
  <c r="D97" i="2"/>
  <c r="C97" i="2"/>
  <c r="K96" i="2"/>
  <c r="D96" i="2"/>
  <c r="C96" i="2"/>
  <c r="K95" i="2"/>
  <c r="D95" i="2"/>
  <c r="C95" i="2"/>
  <c r="K94" i="2"/>
  <c r="D94" i="2"/>
  <c r="C94" i="2"/>
  <c r="K93" i="2"/>
  <c r="D93" i="2"/>
  <c r="C93" i="2"/>
  <c r="K92" i="2"/>
  <c r="D92" i="2"/>
  <c r="C92" i="2"/>
  <c r="K91" i="2"/>
  <c r="D91" i="2"/>
  <c r="C91" i="2"/>
  <c r="K90" i="2"/>
  <c r="D90" i="2"/>
  <c r="C90" i="2"/>
  <c r="K89" i="2"/>
  <c r="D89" i="2"/>
  <c r="C89" i="2"/>
  <c r="K88" i="2"/>
  <c r="D88" i="2"/>
  <c r="C88" i="2"/>
  <c r="K87" i="2"/>
  <c r="D87" i="2"/>
  <c r="C87" i="2"/>
  <c r="K86" i="2"/>
  <c r="D86" i="2"/>
  <c r="C86" i="2"/>
  <c r="K85" i="2"/>
  <c r="D85" i="2"/>
  <c r="C85" i="2"/>
  <c r="K84" i="2"/>
  <c r="D84" i="2"/>
  <c r="C84" i="2"/>
  <c r="K83" i="2"/>
  <c r="D83" i="2"/>
  <c r="C83" i="2"/>
  <c r="K82" i="2"/>
  <c r="D82" i="2"/>
  <c r="C82" i="2"/>
  <c r="K81" i="2"/>
  <c r="D81" i="2"/>
  <c r="C81" i="2"/>
  <c r="K80" i="2"/>
  <c r="D80" i="2"/>
  <c r="C80" i="2"/>
  <c r="K79" i="2"/>
  <c r="D79" i="2"/>
  <c r="C79" i="2"/>
  <c r="K78" i="2"/>
  <c r="D78" i="2"/>
  <c r="C78" i="2"/>
  <c r="K77" i="2"/>
  <c r="D77" i="2"/>
  <c r="C77" i="2"/>
  <c r="K76" i="2"/>
  <c r="D76" i="2"/>
  <c r="C76" i="2"/>
  <c r="K75" i="2"/>
  <c r="D75" i="2"/>
  <c r="C75" i="2"/>
  <c r="K74" i="2"/>
  <c r="D74" i="2"/>
  <c r="C74" i="2"/>
  <c r="K73" i="2"/>
  <c r="D73" i="2"/>
  <c r="C73" i="2"/>
  <c r="K72" i="2"/>
  <c r="D72" i="2"/>
  <c r="C72" i="2"/>
  <c r="K71" i="2"/>
  <c r="D71" i="2"/>
  <c r="C71" i="2"/>
  <c r="K70" i="2"/>
  <c r="D70" i="2"/>
  <c r="C70" i="2"/>
  <c r="K69" i="2"/>
  <c r="D69" i="2"/>
  <c r="C69" i="2"/>
  <c r="K68" i="2"/>
  <c r="D68" i="2"/>
  <c r="C68" i="2"/>
  <c r="K67" i="2"/>
  <c r="D67" i="2"/>
  <c r="C67" i="2"/>
  <c r="K66" i="2"/>
  <c r="D66" i="2"/>
  <c r="C66" i="2"/>
  <c r="K65" i="2"/>
  <c r="D65" i="2"/>
  <c r="C65" i="2"/>
  <c r="K64" i="2"/>
  <c r="D64" i="2"/>
  <c r="C64" i="2"/>
  <c r="K63" i="2"/>
  <c r="D63" i="2"/>
  <c r="C63" i="2"/>
  <c r="K62" i="2"/>
  <c r="D62" i="2"/>
  <c r="C62" i="2"/>
  <c r="K61" i="2"/>
  <c r="D61" i="2"/>
  <c r="C61" i="2"/>
  <c r="K60" i="2"/>
  <c r="D60" i="2"/>
  <c r="C60" i="2"/>
  <c r="K59" i="2"/>
  <c r="D59" i="2"/>
  <c r="C59" i="2"/>
  <c r="K58" i="2"/>
  <c r="D58" i="2"/>
  <c r="C58" i="2"/>
  <c r="K57" i="2"/>
  <c r="D57" i="2"/>
  <c r="C57" i="2"/>
  <c r="K56" i="2"/>
  <c r="D56" i="2"/>
  <c r="C56" i="2"/>
  <c r="K55" i="2"/>
  <c r="D55" i="2"/>
  <c r="C55" i="2"/>
  <c r="K54" i="2"/>
  <c r="D54" i="2"/>
  <c r="C54" i="2"/>
  <c r="K53" i="2"/>
  <c r="D53" i="2"/>
  <c r="C53" i="2"/>
  <c r="K52" i="2"/>
  <c r="D52" i="2"/>
  <c r="C52" i="2"/>
  <c r="K51" i="2"/>
  <c r="D51" i="2"/>
  <c r="C51" i="2"/>
  <c r="K50" i="2"/>
  <c r="D50" i="2"/>
  <c r="C50" i="2"/>
  <c r="K49" i="2"/>
  <c r="D49" i="2"/>
  <c r="C49" i="2"/>
  <c r="K48" i="2"/>
  <c r="D48" i="2"/>
  <c r="C48" i="2"/>
  <c r="K47" i="2"/>
  <c r="D47" i="2"/>
  <c r="C47" i="2"/>
  <c r="K46" i="2"/>
  <c r="D46" i="2"/>
  <c r="C46" i="2"/>
  <c r="K45" i="2"/>
  <c r="D45" i="2"/>
  <c r="C45" i="2"/>
  <c r="K44" i="2"/>
  <c r="D44" i="2"/>
  <c r="C44" i="2"/>
  <c r="K43" i="2"/>
  <c r="D43" i="2"/>
  <c r="C43" i="2"/>
  <c r="K42" i="2"/>
  <c r="D42" i="2"/>
  <c r="C42" i="2"/>
  <c r="K41" i="2"/>
  <c r="D41" i="2"/>
  <c r="C41" i="2"/>
  <c r="K40" i="2"/>
  <c r="D40" i="2"/>
  <c r="C40" i="2"/>
  <c r="K39" i="2"/>
  <c r="D39" i="2"/>
  <c r="C39" i="2"/>
  <c r="K38" i="2"/>
  <c r="D38" i="2"/>
  <c r="C38" i="2"/>
  <c r="K37" i="2"/>
  <c r="D37" i="2"/>
  <c r="C37" i="2"/>
  <c r="K36" i="2"/>
  <c r="D36" i="2"/>
  <c r="C36" i="2"/>
  <c r="K35" i="2"/>
  <c r="D35" i="2"/>
  <c r="C35" i="2"/>
  <c r="K34" i="2"/>
  <c r="D34" i="2"/>
  <c r="C34" i="2"/>
  <c r="K33" i="2"/>
  <c r="D33" i="2"/>
  <c r="C33" i="2"/>
  <c r="K32" i="2"/>
  <c r="D32" i="2"/>
  <c r="C32" i="2"/>
  <c r="K31" i="2"/>
  <c r="D31" i="2"/>
  <c r="C31" i="2"/>
  <c r="K30" i="2"/>
  <c r="D30" i="2"/>
  <c r="C30" i="2"/>
  <c r="K29" i="2"/>
  <c r="D29" i="2"/>
  <c r="C29" i="2"/>
  <c r="K28" i="2"/>
  <c r="D28" i="2"/>
  <c r="C28" i="2"/>
  <c r="K27" i="2"/>
  <c r="D27" i="2"/>
  <c r="C27" i="2"/>
  <c r="K26" i="2"/>
  <c r="D26" i="2"/>
  <c r="C26" i="2"/>
  <c r="K25" i="2"/>
  <c r="D25" i="2"/>
  <c r="C25" i="2"/>
  <c r="K24" i="2"/>
  <c r="D24" i="2"/>
  <c r="C24" i="2"/>
  <c r="K23" i="2"/>
  <c r="D23" i="2"/>
  <c r="C23" i="2"/>
  <c r="K22" i="2"/>
  <c r="D22" i="2"/>
  <c r="C22" i="2"/>
  <c r="K21" i="2"/>
  <c r="D21" i="2"/>
  <c r="C21" i="2"/>
  <c r="K20" i="2"/>
  <c r="D20" i="2"/>
  <c r="C20" i="2"/>
  <c r="K19" i="2"/>
  <c r="D19" i="2"/>
  <c r="C19" i="2"/>
  <c r="K18" i="2"/>
  <c r="D18" i="2"/>
  <c r="C18" i="2"/>
  <c r="K17" i="2"/>
  <c r="D17" i="2"/>
  <c r="C17" i="2"/>
  <c r="K16" i="2"/>
  <c r="D16" i="2"/>
  <c r="C16" i="2"/>
  <c r="K15" i="2"/>
  <c r="D15" i="2"/>
  <c r="C15" i="2"/>
  <c r="K14" i="2"/>
  <c r="D14" i="2"/>
  <c r="C14" i="2"/>
  <c r="K13" i="2"/>
  <c r="D13" i="2"/>
  <c r="C13" i="2"/>
  <c r="K12" i="2"/>
  <c r="D12" i="2"/>
  <c r="C12" i="2"/>
  <c r="K11" i="2"/>
  <c r="D11" i="2"/>
  <c r="C11" i="2"/>
  <c r="K10" i="2"/>
  <c r="D10" i="2"/>
  <c r="C10" i="2"/>
  <c r="K9" i="2"/>
  <c r="D9" i="2"/>
  <c r="C9" i="2"/>
  <c r="K8" i="2"/>
  <c r="D8" i="2"/>
  <c r="C8" i="2"/>
  <c r="K7" i="2"/>
  <c r="D7" i="2"/>
  <c r="C7" i="2"/>
  <c r="K6" i="2"/>
  <c r="D6" i="2"/>
  <c r="C6" i="2"/>
  <c r="K5" i="2"/>
  <c r="D5" i="2"/>
  <c r="C5" i="2"/>
  <c r="K4" i="2"/>
  <c r="D4" i="2"/>
  <c r="C4" i="2"/>
  <c r="K3" i="2"/>
  <c r="D3" i="2"/>
  <c r="C3" i="2"/>
  <c r="K2" i="2"/>
  <c r="D2" i="2"/>
  <c r="C2" i="2"/>
  <c r="J23" i="3" l="1"/>
</calcChain>
</file>

<file path=xl/sharedStrings.xml><?xml version="1.0" encoding="utf-8"?>
<sst xmlns="http://schemas.openxmlformats.org/spreadsheetml/2006/main" count="3306" uniqueCount="445">
  <si>
    <t>Incident_ID</t>
  </si>
  <si>
    <t>Date</t>
  </si>
  <si>
    <t>State</t>
  </si>
  <si>
    <t>Region</t>
  </si>
  <si>
    <t>Location_Type</t>
  </si>
  <si>
    <t>Victims_Count</t>
  </si>
  <si>
    <t>Ransom_Demanded_NGN</t>
  </si>
  <si>
    <t>Ransom_Paid_NGN</t>
  </si>
  <si>
    <t>Outcome</t>
  </si>
  <si>
    <t>Security_Response</t>
  </si>
  <si>
    <t>Urban_Rural</t>
  </si>
  <si>
    <t>Latitude</t>
  </si>
  <si>
    <t>Longitude</t>
  </si>
  <si>
    <t>INC001</t>
  </si>
  <si>
    <t>2023-10-29</t>
  </si>
  <si>
    <t>Anambra</t>
  </si>
  <si>
    <t>South East</t>
  </si>
  <si>
    <t>Waterway</t>
  </si>
  <si>
    <t>Kidnapped</t>
  </si>
  <si>
    <t>Quick</t>
  </si>
  <si>
    <t>Urban</t>
  </si>
  <si>
    <t>INC002</t>
  </si>
  <si>
    <t>2023-06-14</t>
  </si>
  <si>
    <t>Delta</t>
  </si>
  <si>
    <t>South South</t>
  </si>
  <si>
    <t>School</t>
  </si>
  <si>
    <t>Killed</t>
  </si>
  <si>
    <t>Moderate</t>
  </si>
  <si>
    <t>INC003</t>
  </si>
  <si>
    <t>2024-01-05</t>
  </si>
  <si>
    <t>Benue</t>
  </si>
  <si>
    <t>North Central</t>
  </si>
  <si>
    <t>Market</t>
  </si>
  <si>
    <t>Escaped</t>
  </si>
  <si>
    <t>Delayed</t>
  </si>
  <si>
    <t>INC004</t>
  </si>
  <si>
    <t>2023-08-23</t>
  </si>
  <si>
    <t>Rivers</t>
  </si>
  <si>
    <t>No Response</t>
  </si>
  <si>
    <t>INC005</t>
  </si>
  <si>
    <t>2023-02-15</t>
  </si>
  <si>
    <t>Kaduna</t>
  </si>
  <si>
    <t>North West</t>
  </si>
  <si>
    <t>Village</t>
  </si>
  <si>
    <t>Rural</t>
  </si>
  <si>
    <t>INC006</t>
  </si>
  <si>
    <t>2023-03-27</t>
  </si>
  <si>
    <t>INC007</t>
  </si>
  <si>
    <t>2023-09-20</t>
  </si>
  <si>
    <t>Residential</t>
  </si>
  <si>
    <t>INC008</t>
  </si>
  <si>
    <t>2023-02-22</t>
  </si>
  <si>
    <t>Katsina</t>
  </si>
  <si>
    <t>INC009</t>
  </si>
  <si>
    <t>2023-04-15</t>
  </si>
  <si>
    <t>INC010</t>
  </si>
  <si>
    <t>2023-05-26</t>
  </si>
  <si>
    <t>Road</t>
  </si>
  <si>
    <t>INC011</t>
  </si>
  <si>
    <t>2024-05-14</t>
  </si>
  <si>
    <t>Oyo</t>
  </si>
  <si>
    <t>South West</t>
  </si>
  <si>
    <t>INC012</t>
  </si>
  <si>
    <t>2023-01-22</t>
  </si>
  <si>
    <t>Kano</t>
  </si>
  <si>
    <t>INC013</t>
  </si>
  <si>
    <t>2024-01-29</t>
  </si>
  <si>
    <t>Borno</t>
  </si>
  <si>
    <t>North East</t>
  </si>
  <si>
    <t>Farm</t>
  </si>
  <si>
    <t>INC014</t>
  </si>
  <si>
    <t>2023-11-23</t>
  </si>
  <si>
    <t>Ogun</t>
  </si>
  <si>
    <t>INC015</t>
  </si>
  <si>
    <t>2023-07-14</t>
  </si>
  <si>
    <t>INC016</t>
  </si>
  <si>
    <t>2023-06-29</t>
  </si>
  <si>
    <t>Abuja</t>
  </si>
  <si>
    <t>INC017</t>
  </si>
  <si>
    <t>2024-04-17</t>
  </si>
  <si>
    <t>INC018</t>
  </si>
  <si>
    <t>2023-10-14</t>
  </si>
  <si>
    <t>INC019</t>
  </si>
  <si>
    <t>2023-09-27</t>
  </si>
  <si>
    <t>Zamfara</t>
  </si>
  <si>
    <t>INC020</t>
  </si>
  <si>
    <t>2023-08-07</t>
  </si>
  <si>
    <t>Lagos</t>
  </si>
  <si>
    <t>INC021</t>
  </si>
  <si>
    <t>2023-02-28</t>
  </si>
  <si>
    <t>Released</t>
  </si>
  <si>
    <t>INC022</t>
  </si>
  <si>
    <t>2023-02-07</t>
  </si>
  <si>
    <t>INC023</t>
  </si>
  <si>
    <t>2023-06-15</t>
  </si>
  <si>
    <t>INC024</t>
  </si>
  <si>
    <t>2024-05-10</t>
  </si>
  <si>
    <t>INC025</t>
  </si>
  <si>
    <t>2023-12-26</t>
  </si>
  <si>
    <t>INC026</t>
  </si>
  <si>
    <t>2023-01-11</t>
  </si>
  <si>
    <t>INC027</t>
  </si>
  <si>
    <t>2024-01-17</t>
  </si>
  <si>
    <t>INC028</t>
  </si>
  <si>
    <t>2023-12-11</t>
  </si>
  <si>
    <t>INC029</t>
  </si>
  <si>
    <t>2023-10-08</t>
  </si>
  <si>
    <t>INC030</t>
  </si>
  <si>
    <t>2024-04-10</t>
  </si>
  <si>
    <t>INC031</t>
  </si>
  <si>
    <t>2024-03-30</t>
  </si>
  <si>
    <t>INC032</t>
  </si>
  <si>
    <t>2023-10-03</t>
  </si>
  <si>
    <t>INC033</t>
  </si>
  <si>
    <t>2023-12-02</t>
  </si>
  <si>
    <t>INC034</t>
  </si>
  <si>
    <t>2023-02-25</t>
  </si>
  <si>
    <t>INC035</t>
  </si>
  <si>
    <t>2023-03-29</t>
  </si>
  <si>
    <t>INC036</t>
  </si>
  <si>
    <t>2023-03-31</t>
  </si>
  <si>
    <t>INC037</t>
  </si>
  <si>
    <t>2023-08-29</t>
  </si>
  <si>
    <t>INC038</t>
  </si>
  <si>
    <t>2023-07-03</t>
  </si>
  <si>
    <t>INC039</t>
  </si>
  <si>
    <t>2024-01-07</t>
  </si>
  <si>
    <t>INC040</t>
  </si>
  <si>
    <t>2023-03-13</t>
  </si>
  <si>
    <t>INC041</t>
  </si>
  <si>
    <t>2023-09-26</t>
  </si>
  <si>
    <t>INC042</t>
  </si>
  <si>
    <t>INC043</t>
  </si>
  <si>
    <t>2023-03-24</t>
  </si>
  <si>
    <t>INC044</t>
  </si>
  <si>
    <t>2023-12-30</t>
  </si>
  <si>
    <t>INC045</t>
  </si>
  <si>
    <t>2023-07-27</t>
  </si>
  <si>
    <t>INC046</t>
  </si>
  <si>
    <t>2024-01-24</t>
  </si>
  <si>
    <t>INC047</t>
  </si>
  <si>
    <t>2024-01-04</t>
  </si>
  <si>
    <t>INC048</t>
  </si>
  <si>
    <t>2023-03-26</t>
  </si>
  <si>
    <t>INC049</t>
  </si>
  <si>
    <t>2024-01-19</t>
  </si>
  <si>
    <t>INC050</t>
  </si>
  <si>
    <t>2023-01-24</t>
  </si>
  <si>
    <t>INC051</t>
  </si>
  <si>
    <t>2023-08-04</t>
  </si>
  <si>
    <t>INC052</t>
  </si>
  <si>
    <t>2023-10-20</t>
  </si>
  <si>
    <t>INC053</t>
  </si>
  <si>
    <t>2023-09-29</t>
  </si>
  <si>
    <t>INC054</t>
  </si>
  <si>
    <t>2024-02-20</t>
  </si>
  <si>
    <t>INC055</t>
  </si>
  <si>
    <t>2023-12-17</t>
  </si>
  <si>
    <t>INC056</t>
  </si>
  <si>
    <t>2023-04-09</t>
  </si>
  <si>
    <t>INC057</t>
  </si>
  <si>
    <t>2023-05-01</t>
  </si>
  <si>
    <t>INC058</t>
  </si>
  <si>
    <t>2023-11-16</t>
  </si>
  <si>
    <t>INC059</t>
  </si>
  <si>
    <t>2024-03-09</t>
  </si>
  <si>
    <t>INC060</t>
  </si>
  <si>
    <t>2023-12-25</t>
  </si>
  <si>
    <t>INC061</t>
  </si>
  <si>
    <t>2023-09-21</t>
  </si>
  <si>
    <t>INC062</t>
  </si>
  <si>
    <t>2023-12-23</t>
  </si>
  <si>
    <t>INC063</t>
  </si>
  <si>
    <t>2023-03-30</t>
  </si>
  <si>
    <t>INC064</t>
  </si>
  <si>
    <t>2023-08-18</t>
  </si>
  <si>
    <t>INC065</t>
  </si>
  <si>
    <t>2023-08-16</t>
  </si>
  <si>
    <t>INC066</t>
  </si>
  <si>
    <t>2024-03-21</t>
  </si>
  <si>
    <t>INC067</t>
  </si>
  <si>
    <t>INC068</t>
  </si>
  <si>
    <t>2023-01-04</t>
  </si>
  <si>
    <t>INC069</t>
  </si>
  <si>
    <t>2023-05-13</t>
  </si>
  <si>
    <t>INC070</t>
  </si>
  <si>
    <t>2023-10-21</t>
  </si>
  <si>
    <t>INC071</t>
  </si>
  <si>
    <t>2024-01-31</t>
  </si>
  <si>
    <t>INC072</t>
  </si>
  <si>
    <t>2023-04-27</t>
  </si>
  <si>
    <t>INC073</t>
  </si>
  <si>
    <t>2023-11-11</t>
  </si>
  <si>
    <t>INC074</t>
  </si>
  <si>
    <t>2024-05-05</t>
  </si>
  <si>
    <t>INC075</t>
  </si>
  <si>
    <t>2024-02-19</t>
  </si>
  <si>
    <t>INC076</t>
  </si>
  <si>
    <t>2024-04-26</t>
  </si>
  <si>
    <t>INC077</t>
  </si>
  <si>
    <t>INC078</t>
  </si>
  <si>
    <t>2023-11-02</t>
  </si>
  <si>
    <t>INC079</t>
  </si>
  <si>
    <t>2023-09-08</t>
  </si>
  <si>
    <t>INC080</t>
  </si>
  <si>
    <t>INC081</t>
  </si>
  <si>
    <t>2023-10-22</t>
  </si>
  <si>
    <t>INC082</t>
  </si>
  <si>
    <t>2023-09-07</t>
  </si>
  <si>
    <t>INC083</t>
  </si>
  <si>
    <t>INC084</t>
  </si>
  <si>
    <t>2024-03-14</t>
  </si>
  <si>
    <t>INC085</t>
  </si>
  <si>
    <t>2023-09-18</t>
  </si>
  <si>
    <t>INC086</t>
  </si>
  <si>
    <t>2023-12-20</t>
  </si>
  <si>
    <t>INC087</t>
  </si>
  <si>
    <t>2023-03-16</t>
  </si>
  <si>
    <t>INC088</t>
  </si>
  <si>
    <t>2024-02-12</t>
  </si>
  <si>
    <t>INC089</t>
  </si>
  <si>
    <t>2023-01-18</t>
  </si>
  <si>
    <t>INC090</t>
  </si>
  <si>
    <t>2023-11-15</t>
  </si>
  <si>
    <t>INC091</t>
  </si>
  <si>
    <t>INC092</t>
  </si>
  <si>
    <t>2023-04-10</t>
  </si>
  <si>
    <t>INC093</t>
  </si>
  <si>
    <t>2024-02-23</t>
  </si>
  <si>
    <t>INC094</t>
  </si>
  <si>
    <t>2023-05-28</t>
  </si>
  <si>
    <t>INC095</t>
  </si>
  <si>
    <t>2023-03-17</t>
  </si>
  <si>
    <t>INC096</t>
  </si>
  <si>
    <t>2023-05-06</t>
  </si>
  <si>
    <t>INC097</t>
  </si>
  <si>
    <t>2024-05-06</t>
  </si>
  <si>
    <t>INC098</t>
  </si>
  <si>
    <t>2023-12-24</t>
  </si>
  <si>
    <t>INC099</t>
  </si>
  <si>
    <t>2023-09-16</t>
  </si>
  <si>
    <t>INC100</t>
  </si>
  <si>
    <t>2023-06-30</t>
  </si>
  <si>
    <t>INC101</t>
  </si>
  <si>
    <t>2023-06-20</t>
  </si>
  <si>
    <t>INC102</t>
  </si>
  <si>
    <t>2023-10-09</t>
  </si>
  <si>
    <t>INC103</t>
  </si>
  <si>
    <t>2023-08-15</t>
  </si>
  <si>
    <t>INC104</t>
  </si>
  <si>
    <t>2024-02-15</t>
  </si>
  <si>
    <t>INC105</t>
  </si>
  <si>
    <t>2023-02-14</t>
  </si>
  <si>
    <t>INC106</t>
  </si>
  <si>
    <t>2024-01-02</t>
  </si>
  <si>
    <t>INC107</t>
  </si>
  <si>
    <t>2023-02-18</t>
  </si>
  <si>
    <t>INC108</t>
  </si>
  <si>
    <t>INC109</t>
  </si>
  <si>
    <t>2023-04-02</t>
  </si>
  <si>
    <t>INC110</t>
  </si>
  <si>
    <t>2023-11-29</t>
  </si>
  <si>
    <t>INC111</t>
  </si>
  <si>
    <t>2023-01-30</t>
  </si>
  <si>
    <t>INC112</t>
  </si>
  <si>
    <t>INC113</t>
  </si>
  <si>
    <t>2023-12-01</t>
  </si>
  <si>
    <t>INC114</t>
  </si>
  <si>
    <t>2024-03-18</t>
  </si>
  <si>
    <t>INC115</t>
  </si>
  <si>
    <t>2023-05-05</t>
  </si>
  <si>
    <t>INC116</t>
  </si>
  <si>
    <t>2023-01-31</t>
  </si>
  <si>
    <t>INC117</t>
  </si>
  <si>
    <t>2023-10-18</t>
  </si>
  <si>
    <t>INC118</t>
  </si>
  <si>
    <t>2023-07-24</t>
  </si>
  <si>
    <t>INC119</t>
  </si>
  <si>
    <t>INC120</t>
  </si>
  <si>
    <t>2023-04-29</t>
  </si>
  <si>
    <t>INC121</t>
  </si>
  <si>
    <t>INC122</t>
  </si>
  <si>
    <t>INC123</t>
  </si>
  <si>
    <t>2024-04-27</t>
  </si>
  <si>
    <t>INC124</t>
  </si>
  <si>
    <t>INC125</t>
  </si>
  <si>
    <t>2024-03-16</t>
  </si>
  <si>
    <t>INC126</t>
  </si>
  <si>
    <t>2024-02-27</t>
  </si>
  <si>
    <t>INC127</t>
  </si>
  <si>
    <t>2023-05-03</t>
  </si>
  <si>
    <t>INC128</t>
  </si>
  <si>
    <t>2023-05-19</t>
  </si>
  <si>
    <t>INC129</t>
  </si>
  <si>
    <t>2024-05-15</t>
  </si>
  <si>
    <t>INC130</t>
  </si>
  <si>
    <t>2023-10-01</t>
  </si>
  <si>
    <t>INC131</t>
  </si>
  <si>
    <t>2023-08-13</t>
  </si>
  <si>
    <t>INC132</t>
  </si>
  <si>
    <t>2024-04-19</t>
  </si>
  <si>
    <t>INC133</t>
  </si>
  <si>
    <t>2023-12-10</t>
  </si>
  <si>
    <t>INC134</t>
  </si>
  <si>
    <t>INC135</t>
  </si>
  <si>
    <t>2023-02-17</t>
  </si>
  <si>
    <t>INC136</t>
  </si>
  <si>
    <t>2024-03-08</t>
  </si>
  <si>
    <t>INC137</t>
  </si>
  <si>
    <t>2024-03-31</t>
  </si>
  <si>
    <t>INC138</t>
  </si>
  <si>
    <t>2023-11-17</t>
  </si>
  <si>
    <t>INC139</t>
  </si>
  <si>
    <t>2023-01-16</t>
  </si>
  <si>
    <t>INC140</t>
  </si>
  <si>
    <t>2023-07-19</t>
  </si>
  <si>
    <t>INC141</t>
  </si>
  <si>
    <t>2023-03-20</t>
  </si>
  <si>
    <t>INC142</t>
  </si>
  <si>
    <t>INC143</t>
  </si>
  <si>
    <t>INC144</t>
  </si>
  <si>
    <t>2023-07-18</t>
  </si>
  <si>
    <t>INC145</t>
  </si>
  <si>
    <t>2023-03-25</t>
  </si>
  <si>
    <t>INC146</t>
  </si>
  <si>
    <t>2024-01-23</t>
  </si>
  <si>
    <t>INC147</t>
  </si>
  <si>
    <t>2023-01-01</t>
  </si>
  <si>
    <t>INC148</t>
  </si>
  <si>
    <t>INC149</t>
  </si>
  <si>
    <t>2023-05-31</t>
  </si>
  <si>
    <t>INC150</t>
  </si>
  <si>
    <t>2023-07-08</t>
  </si>
  <si>
    <t>INC151</t>
  </si>
  <si>
    <t>2023-10-17</t>
  </si>
  <si>
    <t>INC152</t>
  </si>
  <si>
    <t>INC153</t>
  </si>
  <si>
    <t>2023-12-14</t>
  </si>
  <si>
    <t>INC154</t>
  </si>
  <si>
    <t>2023-07-06</t>
  </si>
  <si>
    <t>INC155</t>
  </si>
  <si>
    <t>INC156</t>
  </si>
  <si>
    <t>2023-08-09</t>
  </si>
  <si>
    <t>INC157</t>
  </si>
  <si>
    <t>2024-02-07</t>
  </si>
  <si>
    <t>INC158</t>
  </si>
  <si>
    <t>2023-06-13</t>
  </si>
  <si>
    <t>INC159</t>
  </si>
  <si>
    <t>2024-04-24</t>
  </si>
  <si>
    <t>INC160</t>
  </si>
  <si>
    <t>2023-05-11</t>
  </si>
  <si>
    <t>INC161</t>
  </si>
  <si>
    <t>2023-01-08</t>
  </si>
  <si>
    <t>INC162</t>
  </si>
  <si>
    <t>2023-03-12</t>
  </si>
  <si>
    <t>INC163</t>
  </si>
  <si>
    <t>2023-11-12</t>
  </si>
  <si>
    <t>INC164</t>
  </si>
  <si>
    <t>INC165</t>
  </si>
  <si>
    <t>INC166</t>
  </si>
  <si>
    <t>INC167</t>
  </si>
  <si>
    <t>2023-03-21</t>
  </si>
  <si>
    <t>INC168</t>
  </si>
  <si>
    <t>2023-03-01</t>
  </si>
  <si>
    <t>INC169</t>
  </si>
  <si>
    <t>2023-01-09</t>
  </si>
  <si>
    <t>INC170</t>
  </si>
  <si>
    <t>2024-05-02</t>
  </si>
  <si>
    <t>INC171</t>
  </si>
  <si>
    <t>2023-12-13</t>
  </si>
  <si>
    <t>INC172</t>
  </si>
  <si>
    <t>2023-08-05</t>
  </si>
  <si>
    <t>INC173</t>
  </si>
  <si>
    <t>INC174</t>
  </si>
  <si>
    <t>2023-11-25</t>
  </si>
  <si>
    <t>INC175</t>
  </si>
  <si>
    <t>2023-02-20</t>
  </si>
  <si>
    <t>INC176</t>
  </si>
  <si>
    <t>2023-09-04</t>
  </si>
  <si>
    <t>INC177</t>
  </si>
  <si>
    <t>2023-07-29</t>
  </si>
  <si>
    <t>INC178</t>
  </si>
  <si>
    <t>INC179</t>
  </si>
  <si>
    <t>2023-12-06</t>
  </si>
  <si>
    <t>INC180</t>
  </si>
  <si>
    <t>INC181</t>
  </si>
  <si>
    <t>2023-10-02</t>
  </si>
  <si>
    <t>INC182</t>
  </si>
  <si>
    <t>INC183</t>
  </si>
  <si>
    <t>INC184</t>
  </si>
  <si>
    <t>2023-08-26</t>
  </si>
  <si>
    <t>INC185</t>
  </si>
  <si>
    <t>2024-03-24</t>
  </si>
  <si>
    <t>INC186</t>
  </si>
  <si>
    <t>2023-02-19</t>
  </si>
  <si>
    <t>INC187</t>
  </si>
  <si>
    <t>2023-09-15</t>
  </si>
  <si>
    <t>INC188</t>
  </si>
  <si>
    <t>INC189</t>
  </si>
  <si>
    <t>INC190</t>
  </si>
  <si>
    <t>INC191</t>
  </si>
  <si>
    <t>2023-04-17</t>
  </si>
  <si>
    <t>INC192</t>
  </si>
  <si>
    <t>2023-10-13</t>
  </si>
  <si>
    <t>INC193</t>
  </si>
  <si>
    <t>INC194</t>
  </si>
  <si>
    <t>INC195</t>
  </si>
  <si>
    <t>2023-09-03</t>
  </si>
  <si>
    <t>INC196</t>
  </si>
  <si>
    <t>2024-01-30</t>
  </si>
  <si>
    <t>INC197</t>
  </si>
  <si>
    <t>INC198</t>
  </si>
  <si>
    <t>2024-02-01</t>
  </si>
  <si>
    <t>INC199</t>
  </si>
  <si>
    <t>2023-09-28</t>
  </si>
  <si>
    <t>INC200</t>
  </si>
  <si>
    <t>Ransom_Gap</t>
  </si>
  <si>
    <t>Month</t>
  </si>
  <si>
    <t>Year</t>
  </si>
  <si>
    <t>Row Labels</t>
  </si>
  <si>
    <t>Grand Total</t>
  </si>
  <si>
    <t>Sum of Victims_Count</t>
  </si>
  <si>
    <t>Column Labels</t>
  </si>
  <si>
    <t>2024</t>
  </si>
  <si>
    <t>Jan</t>
  </si>
  <si>
    <t>Feb</t>
  </si>
  <si>
    <t>Mar</t>
  </si>
  <si>
    <t>Apr</t>
  </si>
  <si>
    <t>May</t>
  </si>
  <si>
    <t>RANSOM DEMANDED</t>
  </si>
  <si>
    <t>RANSOM PAID</t>
  </si>
  <si>
    <t>RANSOM GAP</t>
  </si>
  <si>
    <t>Survival_flag2</t>
  </si>
  <si>
    <t>Unknown</t>
  </si>
  <si>
    <t>Dead</t>
  </si>
  <si>
    <t>Alive</t>
  </si>
  <si>
    <t>2023</t>
  </si>
  <si>
    <t>Jun</t>
  </si>
  <si>
    <t>Jul</t>
  </si>
  <si>
    <t>Aug</t>
  </si>
  <si>
    <t>Sep</t>
  </si>
  <si>
    <t>Oct</t>
  </si>
  <si>
    <t>Nov</t>
  </si>
  <si>
    <t>Dec</t>
  </si>
  <si>
    <t>TOTAL VICTIMS_COUNT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</si>
</sst>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mm\-yyyy"/>
    <numFmt numFmtId="165" formatCode="[$₦-470]#,##0"/>
  </numFmts>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49" fontId="0" fillId="0" borderId="0" xfId="0" applyNumberFormat="1"/>
    <xf numFmtId="15" fontId="0" fillId="0" borderId="0" xfId="0" applyNumberFormat="1"/>
    <xf numFmtId="164" fontId="0" fillId="0" borderId="0" xfId="0" applyNumberFormat="1"/>
    <xf numFmtId="2" fontId="0" fillId="0" borderId="0" xfId="0" applyNumberFormat="1"/>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1" fillId="0" borderId="0" xfId="0" applyFont="1"/>
    <xf numFmtId="1" fontId="0" fillId="0" borderId="0" xfId="0" applyNumberFormat="1" applyAlignment="1">
      <alignment horizontal="left"/>
    </xf>
  </cellXfs>
  <cellStyles count="1">
    <cellStyle name="Normal" xfId="0" builtinId="0"/>
  </cellStyles>
  <dxfs count="27">
    <dxf>
      <numFmt numFmtId="2" formatCode="0.00"/>
    </dxf>
    <dxf>
      <numFmt numFmtId="2" formatCode="0.00"/>
    </dxf>
    <dxf>
      <numFmt numFmtId="30" formatCode="@"/>
    </dxf>
    <dxf>
      <numFmt numFmtId="30" formatCode="@"/>
    </dxf>
    <dxf>
      <numFmt numFmtId="30" formatCode="@"/>
    </dxf>
    <dxf>
      <numFmt numFmtId="30" formatCode="@"/>
    </dxf>
    <dxf>
      <numFmt numFmtId="165" formatCode="[$₦-470]#,##0"/>
    </dxf>
    <dxf>
      <numFmt numFmtId="165" formatCode="[$₦-470]#,##0"/>
    </dxf>
    <dxf>
      <numFmt numFmtId="165" formatCode="[$₦-470]#,##0"/>
    </dxf>
    <dxf>
      <numFmt numFmtId="1" formatCode="0"/>
    </dxf>
    <dxf>
      <numFmt numFmtId="30" formatCode="@"/>
    </dxf>
    <dxf>
      <numFmt numFmtId="30" formatCode="@"/>
    </dxf>
    <dxf>
      <numFmt numFmtId="30" formatCode="@"/>
    </dxf>
    <dxf>
      <numFmt numFmtId="164" formatCode="d\-mmm\-yyyy"/>
    </dxf>
    <dxf>
      <numFmt numFmtId="164" formatCode="d\-mmm\-yyyy"/>
    </dxf>
    <dxf>
      <numFmt numFmtId="20" formatCode="d\-mmm\-yy"/>
    </dxf>
    <dxf>
      <numFmt numFmtId="30" formatCode="@"/>
    </dxf>
    <dxf>
      <numFmt numFmtId="30" formatCode="@"/>
    </dxf>
    <dxf>
      <font>
        <b/>
        <sz val="11"/>
        <color theme="1"/>
      </font>
    </dxf>
    <dxf>
      <font>
        <color theme="6" tint="-0.24994659260841701"/>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rgb="FF00B050"/>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rgb="FF00B050"/>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rgb="FF00B050"/>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color rgb="FF00B050"/>
      </font>
    </dxf>
  </dxfs>
  <tableStyles count="5" defaultTableStyle="TableStyleMedium9" defaultPivotStyle="PivotStyleLight16">
    <tableStyle name="Slicer Style 1" pivot="0" table="0" count="1" xr9:uid="{F5EEEA8D-A287-42D8-A17A-D4709F239F67}">
      <tableStyleElement type="wholeTable" dxfId="26"/>
    </tableStyle>
    <tableStyle name="Timeline Style 1" pivot="0" table="0" count="8" xr9:uid="{A631CEA7-631E-4DFC-BBC2-7374A4EFCB17}">
      <tableStyleElement type="wholeTable" dxfId="25"/>
      <tableStyleElement type="headerRow" dxfId="24"/>
    </tableStyle>
    <tableStyle name="Timeline Style 2" pivot="0" table="0" count="8" xr9:uid="{5734D235-9A9A-4B43-897A-935DE6BAFCB5}">
      <tableStyleElement type="wholeTable" dxfId="23"/>
      <tableStyleElement type="headerRow" dxfId="22"/>
    </tableStyle>
    <tableStyle name="Timeline Style 3" pivot="0" table="0" count="8" xr9:uid="{B1674489-5694-4BED-BA80-F491B3E98DF4}">
      <tableStyleElement type="wholeTable" dxfId="21"/>
      <tableStyleElement type="headerRow" dxfId="20"/>
    </tableStyle>
    <tableStyle name="Timeline Style 4" pivot="0" table="0" count="8" xr9:uid="{5A593D5D-172C-4278-933B-50B720A1CEE5}">
      <tableStyleElement type="wholeTable" dxfId="19"/>
      <tableStyleElement type="headerRow" dxfId="1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24">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line Style 3">
        <x15:timelineStyle name="Timeline Style 1">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2">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3">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4">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nigeria_kidnapping_dataset  PROJECT ONE.xlsx]Analysis!PivotTable10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Survival_flag</a:t>
            </a:r>
          </a:p>
        </c:rich>
      </c:tx>
      <c:layout>
        <c:manualLayout>
          <c:xMode val="edge"/>
          <c:yMode val="edge"/>
          <c:x val="0.3952777777777777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
        <c:spPr>
          <a:solidFill>
            <a:schemeClr val="accent3">
              <a:lumMod val="50000"/>
            </a:schemeClr>
          </a:solidFill>
          <a:ln w="19050">
            <a:solidFill>
              <a:schemeClr val="lt1"/>
            </a:solidFill>
          </a:ln>
          <a:effectLst/>
        </c:spPr>
        <c:dLbl>
          <c:idx val="0"/>
          <c:layout>
            <c:manualLayout>
              <c:x val="7.2222222222222118E-2"/>
              <c:y val="4.6296296296296294E-3"/>
            </c:manualLayout>
          </c:layou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25"/>
              <c:y val="-9.722222222222222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2222222222222225"/>
              <c:y val="5.0925925925925923E-2"/>
            </c:manualLayout>
          </c:layou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5"/>
        <c:spPr>
          <a:solidFill>
            <a:schemeClr val="accent3">
              <a:lumMod val="50000"/>
            </a:schemeClr>
          </a:solidFill>
          <a:ln w="19050">
            <a:solidFill>
              <a:schemeClr val="lt1"/>
            </a:solidFill>
          </a:ln>
          <a:effectLst/>
        </c:spPr>
        <c:dLbl>
          <c:idx val="0"/>
          <c:layout>
            <c:manualLayout>
              <c:x val="7.2222222222222118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6"/>
        <c:spPr>
          <a:solidFill>
            <a:schemeClr val="accent1"/>
          </a:solidFill>
          <a:ln w="19050">
            <a:solidFill>
              <a:schemeClr val="lt1"/>
            </a:solidFill>
          </a:ln>
          <a:effectLst/>
        </c:spPr>
        <c:dLbl>
          <c:idx val="0"/>
          <c:layout>
            <c:manualLayout>
              <c:x val="-0.12222222222222225"/>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7"/>
        <c:spPr>
          <a:solidFill>
            <a:schemeClr val="accent1"/>
          </a:solidFill>
          <a:ln w="19050">
            <a:solidFill>
              <a:schemeClr val="lt1"/>
            </a:solidFill>
          </a:ln>
          <a:effectLst/>
        </c:spPr>
        <c:dLbl>
          <c:idx val="0"/>
          <c:layout>
            <c:manualLayout>
              <c:x val="-0.125"/>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9"/>
        <c:spPr>
          <a:solidFill>
            <a:schemeClr val="accent3">
              <a:lumMod val="50000"/>
            </a:schemeClr>
          </a:solidFill>
          <a:ln w="19050">
            <a:solidFill>
              <a:schemeClr val="lt1"/>
            </a:solidFill>
          </a:ln>
          <a:effectLst/>
        </c:spPr>
        <c:dLbl>
          <c:idx val="0"/>
          <c:layout>
            <c:manualLayout>
              <c:x val="7.2222222222222118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0"/>
        <c:spPr>
          <a:solidFill>
            <a:schemeClr val="accent1"/>
          </a:solidFill>
          <a:ln w="19050">
            <a:solidFill>
              <a:schemeClr val="lt1"/>
            </a:solidFill>
          </a:ln>
          <a:effectLst/>
        </c:spPr>
        <c:dLbl>
          <c:idx val="0"/>
          <c:layout>
            <c:manualLayout>
              <c:x val="-0.12222222222222225"/>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1"/>
        <c:spPr>
          <a:solidFill>
            <a:schemeClr val="accent1"/>
          </a:solidFill>
          <a:ln w="19050">
            <a:solidFill>
              <a:schemeClr val="lt1"/>
            </a:solidFill>
          </a:ln>
          <a:effectLst/>
        </c:spPr>
        <c:dLbl>
          <c:idx val="0"/>
          <c:layout>
            <c:manualLayout>
              <c:x val="-0.125"/>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3"/>
        <c:spPr>
          <a:solidFill>
            <a:schemeClr val="accent3">
              <a:lumMod val="50000"/>
            </a:schemeClr>
          </a:solidFill>
          <a:ln w="19050">
            <a:solidFill>
              <a:schemeClr val="lt1"/>
            </a:solidFill>
          </a:ln>
          <a:effectLst/>
        </c:spPr>
        <c:dLbl>
          <c:idx val="0"/>
          <c:layout>
            <c:manualLayout>
              <c:x val="7.2222222222222118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4"/>
        <c:spPr>
          <a:solidFill>
            <a:schemeClr val="accent1"/>
          </a:solidFill>
          <a:ln w="19050">
            <a:solidFill>
              <a:schemeClr val="lt1"/>
            </a:solidFill>
          </a:ln>
          <a:effectLst/>
        </c:spPr>
        <c:dLbl>
          <c:idx val="0"/>
          <c:layout>
            <c:manualLayout>
              <c:x val="-0.12222222222222225"/>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5"/>
        <c:spPr>
          <a:solidFill>
            <a:schemeClr val="accent1"/>
          </a:solidFill>
          <a:ln w="19050">
            <a:solidFill>
              <a:schemeClr val="lt1"/>
            </a:solidFill>
          </a:ln>
          <a:effectLst/>
        </c:spPr>
        <c:dLbl>
          <c:idx val="0"/>
          <c:layout>
            <c:manualLayout>
              <c:x val="-0.125"/>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7"/>
        <c:spPr>
          <a:solidFill>
            <a:schemeClr val="accent3">
              <a:lumMod val="50000"/>
            </a:schemeClr>
          </a:solidFill>
          <a:ln w="19050">
            <a:solidFill>
              <a:schemeClr val="lt1"/>
            </a:solidFill>
          </a:ln>
          <a:effectLst/>
        </c:spPr>
        <c:dLbl>
          <c:idx val="0"/>
          <c:layout>
            <c:manualLayout>
              <c:x val="7.2222222222222118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8"/>
        <c:spPr>
          <a:solidFill>
            <a:schemeClr val="accent1"/>
          </a:solidFill>
          <a:ln w="19050">
            <a:solidFill>
              <a:schemeClr val="lt1"/>
            </a:solidFill>
          </a:ln>
          <a:effectLst/>
        </c:spPr>
        <c:dLbl>
          <c:idx val="0"/>
          <c:layout>
            <c:manualLayout>
              <c:x val="-0.12222222222222225"/>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9"/>
        <c:spPr>
          <a:solidFill>
            <a:schemeClr val="accent1"/>
          </a:solidFill>
          <a:ln w="19050">
            <a:solidFill>
              <a:schemeClr val="lt1"/>
            </a:solidFill>
          </a:ln>
          <a:effectLst/>
        </c:spPr>
        <c:dLbl>
          <c:idx val="0"/>
          <c:layout>
            <c:manualLayout>
              <c:x val="-0.125"/>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s>
    <c:plotArea>
      <c:layout/>
      <c:doughnutChart>
        <c:varyColors val="1"/>
        <c:ser>
          <c:idx val="0"/>
          <c:order val="0"/>
          <c:tx>
            <c:strRef>
              <c:f>Analysis!$M$2</c:f>
              <c:strCache>
                <c:ptCount val="1"/>
                <c:pt idx="0">
                  <c:v>Total</c:v>
                </c:pt>
              </c:strCache>
            </c:strRef>
          </c:tx>
          <c:dPt>
            <c:idx val="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1-E6D8-4C64-8299-619847BD68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D8-4C64-8299-619847BD68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D8-4C64-8299-619847BD6836}"/>
              </c:ext>
            </c:extLst>
          </c:dPt>
          <c:dLbls>
            <c:dLbl>
              <c:idx val="0"/>
              <c:layout>
                <c:manualLayout>
                  <c:x val="7.2222222222222118E-2"/>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6D8-4C64-8299-619847BD6836}"/>
                </c:ext>
              </c:extLst>
            </c:dLbl>
            <c:dLbl>
              <c:idx val="1"/>
              <c:layout>
                <c:manualLayout>
                  <c:x val="-0.12222222222222225"/>
                  <c:y val="5.09259259259259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6D8-4C64-8299-619847BD6836}"/>
                </c:ext>
              </c:extLst>
            </c:dLbl>
            <c:dLbl>
              <c:idx val="2"/>
              <c:layout>
                <c:manualLayout>
                  <c:x val="-0.125"/>
                  <c:y val="-9.72222222222222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6D8-4C64-8299-619847BD683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ext>
            </c:extLst>
          </c:dLbls>
          <c:cat>
            <c:strRef>
              <c:f>Analysis!$L$3:$L$6</c:f>
              <c:strCache>
                <c:ptCount val="3"/>
                <c:pt idx="0">
                  <c:v>Alive</c:v>
                </c:pt>
                <c:pt idx="1">
                  <c:v>Dead</c:v>
                </c:pt>
                <c:pt idx="2">
                  <c:v>Unknown</c:v>
                </c:pt>
              </c:strCache>
            </c:strRef>
          </c:cat>
          <c:val>
            <c:numRef>
              <c:f>Analysis!$M$3:$M$6</c:f>
              <c:numCache>
                <c:formatCode>0</c:formatCode>
                <c:ptCount val="3"/>
                <c:pt idx="0">
                  <c:v>1802</c:v>
                </c:pt>
                <c:pt idx="1">
                  <c:v>1184</c:v>
                </c:pt>
                <c:pt idx="2">
                  <c:v>1148</c:v>
                </c:pt>
              </c:numCache>
            </c:numRef>
          </c:val>
          <c:extLst>
            <c:ext xmlns:c16="http://schemas.microsoft.com/office/drawing/2014/chart" uri="{C3380CC4-5D6E-409C-BE32-E72D297353CC}">
              <c16:uniqueId val="{00000006-E6D8-4C64-8299-619847BD6836}"/>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nigeria_kidnapping_dataset  PROJECT ONE.xlsx]Analysis!PivotTable13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Victims_count</a:t>
            </a:r>
            <a:r>
              <a:rPr lang="en-US" sz="1100" baseline="0"/>
              <a:t> by Outcome</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40071542898884"/>
          <c:y val="0.11851851851851852"/>
          <c:w val="0.87994542974079126"/>
          <c:h val="0.74667949839603387"/>
        </c:manualLayout>
      </c:layout>
      <c:barChart>
        <c:barDir val="col"/>
        <c:grouping val="clustered"/>
        <c:varyColors val="0"/>
        <c:ser>
          <c:idx val="0"/>
          <c:order val="0"/>
          <c:tx>
            <c:strRef>
              <c:f>Analysis!$E$18</c:f>
              <c:strCache>
                <c:ptCount val="1"/>
                <c:pt idx="0">
                  <c:v>Total</c:v>
                </c:pt>
              </c:strCache>
            </c:strRef>
          </c:tx>
          <c:spPr>
            <a:solidFill>
              <a:srgbClr val="00B050"/>
            </a:solidFill>
            <a:ln>
              <a:solidFill>
                <a:schemeClr val="accent4"/>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Analysis!$D$19:$D$23</c:f>
              <c:strCache>
                <c:ptCount val="4"/>
                <c:pt idx="0">
                  <c:v>Escaped</c:v>
                </c:pt>
                <c:pt idx="1">
                  <c:v>Kidnapped</c:v>
                </c:pt>
                <c:pt idx="2">
                  <c:v>Killed</c:v>
                </c:pt>
                <c:pt idx="3">
                  <c:v>Released</c:v>
                </c:pt>
              </c:strCache>
            </c:strRef>
          </c:cat>
          <c:val>
            <c:numRef>
              <c:f>Analysis!$E$19:$E$23</c:f>
              <c:numCache>
                <c:formatCode>0</c:formatCode>
                <c:ptCount val="4"/>
                <c:pt idx="0">
                  <c:v>1000</c:v>
                </c:pt>
                <c:pt idx="1">
                  <c:v>1148</c:v>
                </c:pt>
                <c:pt idx="2">
                  <c:v>1184</c:v>
                </c:pt>
                <c:pt idx="3">
                  <c:v>802</c:v>
                </c:pt>
              </c:numCache>
            </c:numRef>
          </c:val>
          <c:extLst>
            <c:ext xmlns:c16="http://schemas.microsoft.com/office/drawing/2014/chart" uri="{C3380CC4-5D6E-409C-BE32-E72D297353CC}">
              <c16:uniqueId val="{00000000-56F4-46EC-BDC3-BE832D447B2C}"/>
            </c:ext>
          </c:extLst>
        </c:ser>
        <c:dLbls>
          <c:showLegendKey val="0"/>
          <c:showVal val="0"/>
          <c:showCatName val="0"/>
          <c:showSerName val="0"/>
          <c:showPercent val="0"/>
          <c:showBubbleSize val="0"/>
        </c:dLbls>
        <c:gapWidth val="219"/>
        <c:overlap val="-27"/>
        <c:axId val="898623216"/>
        <c:axId val="898608336"/>
      </c:barChart>
      <c:catAx>
        <c:axId val="89862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608336"/>
        <c:crosses val="autoZero"/>
        <c:auto val="1"/>
        <c:lblAlgn val="ctr"/>
        <c:lblOffset val="100"/>
        <c:noMultiLvlLbl val="0"/>
      </c:catAx>
      <c:valAx>
        <c:axId val="898608336"/>
        <c:scaling>
          <c:orientation val="minMax"/>
        </c:scaling>
        <c:delete val="1"/>
        <c:axPos val="l"/>
        <c:numFmt formatCode="0" sourceLinked="1"/>
        <c:majorTickMark val="none"/>
        <c:minorTickMark val="none"/>
        <c:tickLblPos val="nextTo"/>
        <c:crossAx val="89862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nigeria_kidnapping_dataset  PROJECT ONE.xlsx]Analysis!PivotTable7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Victims_count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Analysis!$J$11</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Analysis!$I$12:$I$19</c:f>
              <c:strCache>
                <c:ptCount val="7"/>
                <c:pt idx="0">
                  <c:v>Farm</c:v>
                </c:pt>
                <c:pt idx="1">
                  <c:v>Market</c:v>
                </c:pt>
                <c:pt idx="2">
                  <c:v>Residential</c:v>
                </c:pt>
                <c:pt idx="3">
                  <c:v>Road</c:v>
                </c:pt>
                <c:pt idx="4">
                  <c:v>School</c:v>
                </c:pt>
                <c:pt idx="5">
                  <c:v>Village</c:v>
                </c:pt>
                <c:pt idx="6">
                  <c:v>Waterway</c:v>
                </c:pt>
              </c:strCache>
            </c:strRef>
          </c:cat>
          <c:val>
            <c:numRef>
              <c:f>Analysis!$J$12:$J$19</c:f>
              <c:numCache>
                <c:formatCode>0</c:formatCode>
                <c:ptCount val="7"/>
                <c:pt idx="0">
                  <c:v>435</c:v>
                </c:pt>
                <c:pt idx="1">
                  <c:v>824</c:v>
                </c:pt>
                <c:pt idx="2">
                  <c:v>544</c:v>
                </c:pt>
                <c:pt idx="3">
                  <c:v>705</c:v>
                </c:pt>
                <c:pt idx="4">
                  <c:v>761</c:v>
                </c:pt>
                <c:pt idx="5">
                  <c:v>305</c:v>
                </c:pt>
                <c:pt idx="6">
                  <c:v>560</c:v>
                </c:pt>
              </c:numCache>
            </c:numRef>
          </c:val>
          <c:extLst>
            <c:ext xmlns:c16="http://schemas.microsoft.com/office/drawing/2014/chart" uri="{C3380CC4-5D6E-409C-BE32-E72D297353CC}">
              <c16:uniqueId val="{00000000-7593-43C1-B46C-74DC2E6476F8}"/>
            </c:ext>
          </c:extLst>
        </c:ser>
        <c:dLbls>
          <c:dLblPos val="outEnd"/>
          <c:showLegendKey val="0"/>
          <c:showVal val="1"/>
          <c:showCatName val="0"/>
          <c:showSerName val="0"/>
          <c:showPercent val="0"/>
          <c:showBubbleSize val="0"/>
        </c:dLbls>
        <c:gapWidth val="219"/>
        <c:overlap val="-27"/>
        <c:axId val="2048595440"/>
        <c:axId val="2048581520"/>
      </c:barChart>
      <c:catAx>
        <c:axId val="204859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581520"/>
        <c:crosses val="autoZero"/>
        <c:auto val="1"/>
        <c:lblAlgn val="ctr"/>
        <c:lblOffset val="100"/>
        <c:noMultiLvlLbl val="0"/>
      </c:catAx>
      <c:valAx>
        <c:axId val="2048581520"/>
        <c:scaling>
          <c:orientation val="minMax"/>
        </c:scaling>
        <c:delete val="1"/>
        <c:axPos val="l"/>
        <c:numFmt formatCode="0" sourceLinked="1"/>
        <c:majorTickMark val="none"/>
        <c:minorTickMark val="none"/>
        <c:tickLblPos val="nextTo"/>
        <c:crossAx val="204859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nigeria_kidnapping_dataset  PROJECT ONE.xlsx]Analysis!PivotTable5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Urban_Rural</a:t>
            </a:r>
            <a:r>
              <a:rPr lang="en-US" sz="1200" baseline="0"/>
              <a:t> Victims_count</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5"/>
        <c:spPr>
          <a:solidFill>
            <a:srgbClr val="7030A0"/>
          </a:solidFill>
          <a:ln w="19050">
            <a:solidFill>
              <a:srgbClr val="7030A0"/>
            </a:solidFill>
          </a:ln>
          <a:effectLst/>
        </c:spPr>
      </c:pivotFmt>
      <c:pivotFmt>
        <c:idx val="6"/>
        <c:spPr>
          <a:solidFill>
            <a:schemeClr val="accent4">
              <a:lumMod val="60000"/>
              <a:lumOff val="40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8"/>
        <c:spPr>
          <a:solidFill>
            <a:srgbClr val="7030A0"/>
          </a:solidFill>
          <a:ln w="19050">
            <a:solidFill>
              <a:srgbClr val="7030A0"/>
            </a:solidFill>
          </a:ln>
          <a:effectLst/>
        </c:spPr>
      </c:pivotFmt>
      <c:pivotFmt>
        <c:idx val="9"/>
        <c:spPr>
          <a:solidFill>
            <a:schemeClr val="accent4">
              <a:lumMod val="60000"/>
              <a:lumOff val="4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1"/>
        <c:spPr>
          <a:solidFill>
            <a:srgbClr val="7030A0"/>
          </a:solidFill>
          <a:ln w="19050">
            <a:solidFill>
              <a:srgbClr val="7030A0"/>
            </a:solidFill>
          </a:ln>
          <a:effectLst/>
        </c:spPr>
      </c:pivotFmt>
      <c:pivotFmt>
        <c:idx val="12"/>
        <c:spPr>
          <a:solidFill>
            <a:schemeClr val="accent4">
              <a:lumMod val="60000"/>
              <a:lumOff val="4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4"/>
        <c:spPr>
          <a:solidFill>
            <a:srgbClr val="7030A0"/>
          </a:solidFill>
          <a:ln w="19050">
            <a:solidFill>
              <a:srgbClr val="7030A0"/>
            </a:solidFill>
          </a:ln>
          <a:effectLst/>
        </c:spPr>
      </c:pivotFmt>
      <c:pivotFmt>
        <c:idx val="15"/>
        <c:spPr>
          <a:solidFill>
            <a:schemeClr val="accent4">
              <a:lumMod val="60000"/>
              <a:lumOff val="40000"/>
            </a:schemeClr>
          </a:solidFill>
          <a:ln w="19050">
            <a:solidFill>
              <a:schemeClr val="lt1"/>
            </a:solidFill>
          </a:ln>
          <a:effectLst/>
        </c:spPr>
      </c:pivotFmt>
      <c:pivotFmt>
        <c:idx val="16"/>
        <c:spPr>
          <a:solidFill>
            <a:srgbClr val="00B050"/>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7"/>
        <c:spPr>
          <a:solidFill>
            <a:srgbClr val="00B050"/>
          </a:solidFill>
          <a:ln w="19050">
            <a:noFill/>
          </a:ln>
          <a:effectLst/>
        </c:spPr>
      </c:pivotFmt>
      <c:pivotFmt>
        <c:idx val="18"/>
        <c:spPr>
          <a:solidFill>
            <a:schemeClr val="accent1">
              <a:lumMod val="75000"/>
            </a:schemeClr>
          </a:solidFill>
          <a:ln w="19050">
            <a:noFill/>
          </a:ln>
          <a:effectLst/>
        </c:spPr>
      </c:pivotFmt>
    </c:pivotFmts>
    <c:plotArea>
      <c:layout/>
      <c:pieChart>
        <c:varyColors val="1"/>
        <c:ser>
          <c:idx val="0"/>
          <c:order val="0"/>
          <c:tx>
            <c:strRef>
              <c:f>Analysis!$B$18</c:f>
              <c:strCache>
                <c:ptCount val="1"/>
                <c:pt idx="0">
                  <c:v>Total</c:v>
                </c:pt>
              </c:strCache>
            </c:strRef>
          </c:tx>
          <c:spPr>
            <a:solidFill>
              <a:srgbClr val="00B050"/>
            </a:solidFill>
            <a:ln>
              <a:noFill/>
            </a:ln>
          </c:spPr>
          <c:dPt>
            <c:idx val="0"/>
            <c:bubble3D val="0"/>
            <c:spPr>
              <a:solidFill>
                <a:srgbClr val="00B050"/>
              </a:solidFill>
              <a:ln w="19050">
                <a:noFill/>
              </a:ln>
              <a:effectLst/>
            </c:spPr>
            <c:extLst>
              <c:ext xmlns:c16="http://schemas.microsoft.com/office/drawing/2014/chart" uri="{C3380CC4-5D6E-409C-BE32-E72D297353CC}">
                <c16:uniqueId val="{00000001-289E-474F-AC9D-0E27470A78FD}"/>
              </c:ext>
            </c:extLst>
          </c:dPt>
          <c:dPt>
            <c:idx val="1"/>
            <c:bubble3D val="0"/>
            <c:spPr>
              <a:solidFill>
                <a:schemeClr val="accent1">
                  <a:lumMod val="75000"/>
                </a:schemeClr>
              </a:solidFill>
              <a:ln w="19050">
                <a:noFill/>
              </a:ln>
              <a:effectLst/>
            </c:spPr>
            <c:extLst>
              <c:ext xmlns:c16="http://schemas.microsoft.com/office/drawing/2014/chart" uri="{C3380CC4-5D6E-409C-BE32-E72D297353CC}">
                <c16:uniqueId val="{00000003-289E-474F-AC9D-0E27470A78F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oundRectCallout">
                    <a:avLst/>
                  </a:prstGeom>
                  <a:noFill/>
                  <a:ln>
                    <a:noFill/>
                  </a:ln>
                </c15:spPr>
              </c:ext>
            </c:extLst>
          </c:dLbls>
          <c:cat>
            <c:strRef>
              <c:f>Analysis!$A$19:$A$21</c:f>
              <c:strCache>
                <c:ptCount val="2"/>
                <c:pt idx="0">
                  <c:v>Rural</c:v>
                </c:pt>
                <c:pt idx="1">
                  <c:v>Urban</c:v>
                </c:pt>
              </c:strCache>
            </c:strRef>
          </c:cat>
          <c:val>
            <c:numRef>
              <c:f>Analysis!$B$19:$B$21</c:f>
              <c:numCache>
                <c:formatCode>0</c:formatCode>
                <c:ptCount val="2"/>
                <c:pt idx="0">
                  <c:v>2444</c:v>
                </c:pt>
                <c:pt idx="1">
                  <c:v>1690</c:v>
                </c:pt>
              </c:numCache>
            </c:numRef>
          </c:val>
          <c:extLst>
            <c:ext xmlns:c16="http://schemas.microsoft.com/office/drawing/2014/chart" uri="{C3380CC4-5D6E-409C-BE32-E72D297353CC}">
              <c16:uniqueId val="{00000004-289E-474F-AC9D-0E27470A78FD}"/>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nigeria_kidnapping_dataset  PROJECT ONE.xlsx]Analysis!PivotTable6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Victims</a:t>
            </a:r>
            <a:r>
              <a:rPr lang="en-US" baseline="0"/>
              <a:t>_count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26707195341101E-2"/>
          <c:y val="0.23836007130124778"/>
          <c:w val="0.75083078704363004"/>
          <c:h val="0.55990511881202021"/>
        </c:manualLayout>
      </c:layout>
      <c:lineChart>
        <c:grouping val="standard"/>
        <c:varyColors val="0"/>
        <c:ser>
          <c:idx val="0"/>
          <c:order val="0"/>
          <c:tx>
            <c:strRef>
              <c:f>Analysis!$E$2:$E$3</c:f>
              <c:strCache>
                <c:ptCount val="1"/>
                <c:pt idx="0">
                  <c:v>2023</c:v>
                </c:pt>
              </c:strCache>
            </c:strRef>
          </c:tx>
          <c:spPr>
            <a:ln w="28575" cap="rnd">
              <a:solidFill>
                <a:srgbClr val="00B050"/>
              </a:solidFill>
              <a:round/>
            </a:ln>
            <a:effectLst/>
          </c:spPr>
          <c:marker>
            <c:symbol val="none"/>
          </c:marker>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Analysis!$E$4:$E$16</c:f>
              <c:numCache>
                <c:formatCode>0</c:formatCode>
                <c:ptCount val="12"/>
                <c:pt idx="0">
                  <c:v>379</c:v>
                </c:pt>
                <c:pt idx="1">
                  <c:v>197</c:v>
                </c:pt>
                <c:pt idx="2">
                  <c:v>422</c:v>
                </c:pt>
                <c:pt idx="3">
                  <c:v>160</c:v>
                </c:pt>
                <c:pt idx="4">
                  <c:v>331</c:v>
                </c:pt>
                <c:pt idx="5">
                  <c:v>175</c:v>
                </c:pt>
                <c:pt idx="6">
                  <c:v>230</c:v>
                </c:pt>
                <c:pt idx="7">
                  <c:v>243</c:v>
                </c:pt>
                <c:pt idx="8">
                  <c:v>300</c:v>
                </c:pt>
                <c:pt idx="9">
                  <c:v>276</c:v>
                </c:pt>
                <c:pt idx="10">
                  <c:v>177</c:v>
                </c:pt>
                <c:pt idx="11">
                  <c:v>255</c:v>
                </c:pt>
              </c:numCache>
            </c:numRef>
          </c:val>
          <c:smooth val="0"/>
          <c:extLst>
            <c:ext xmlns:c16="http://schemas.microsoft.com/office/drawing/2014/chart" uri="{C3380CC4-5D6E-409C-BE32-E72D297353CC}">
              <c16:uniqueId val="{00000000-976E-4925-B04A-237BE3D99E81}"/>
            </c:ext>
          </c:extLst>
        </c:ser>
        <c:ser>
          <c:idx val="1"/>
          <c:order val="1"/>
          <c:tx>
            <c:strRef>
              <c:f>Analysis!$F$2:$F$3</c:f>
              <c:strCache>
                <c:ptCount val="1"/>
                <c:pt idx="0">
                  <c:v>2024</c:v>
                </c:pt>
              </c:strCache>
            </c:strRef>
          </c:tx>
          <c:spPr>
            <a:ln w="28575" cap="rnd">
              <a:solidFill>
                <a:schemeClr val="accent2">
                  <a:lumMod val="75000"/>
                </a:schemeClr>
              </a:solidFill>
              <a:round/>
            </a:ln>
            <a:effectLst/>
          </c:spPr>
          <c:marker>
            <c:symbol val="none"/>
          </c:marker>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Analysis!$F$4:$F$16</c:f>
              <c:numCache>
                <c:formatCode>0</c:formatCode>
                <c:ptCount val="12"/>
                <c:pt idx="0">
                  <c:v>292</c:v>
                </c:pt>
                <c:pt idx="1">
                  <c:v>216</c:v>
                </c:pt>
                <c:pt idx="2">
                  <c:v>241</c:v>
                </c:pt>
                <c:pt idx="3">
                  <c:v>120</c:v>
                </c:pt>
                <c:pt idx="4">
                  <c:v>120</c:v>
                </c:pt>
              </c:numCache>
            </c:numRef>
          </c:val>
          <c:smooth val="0"/>
          <c:extLst>
            <c:ext xmlns:c16="http://schemas.microsoft.com/office/drawing/2014/chart" uri="{C3380CC4-5D6E-409C-BE32-E72D297353CC}">
              <c16:uniqueId val="{00000001-976E-4925-B04A-237BE3D99E81}"/>
            </c:ext>
          </c:extLst>
        </c:ser>
        <c:dLbls>
          <c:showLegendKey val="0"/>
          <c:showVal val="0"/>
          <c:showCatName val="0"/>
          <c:showSerName val="0"/>
          <c:showPercent val="0"/>
          <c:showBubbleSize val="0"/>
        </c:dLbls>
        <c:smooth val="0"/>
        <c:axId val="898628976"/>
        <c:axId val="898620816"/>
      </c:lineChart>
      <c:catAx>
        <c:axId val="89862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620816"/>
        <c:crosses val="autoZero"/>
        <c:auto val="1"/>
        <c:lblAlgn val="ctr"/>
        <c:lblOffset val="100"/>
        <c:noMultiLvlLbl val="0"/>
      </c:catAx>
      <c:valAx>
        <c:axId val="89862081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9862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nigeria_kidnapping_dataset  PROJECT ONE.xlsx]Analysis!PivotTable3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Victims</a:t>
            </a:r>
            <a:r>
              <a:rPr lang="en-US" baseline="0"/>
              <a:t>_count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1886720681654"/>
          <c:y val="0.25509078735824992"/>
          <c:w val="0.893719806763285"/>
          <c:h val="0.56804076924802227"/>
        </c:manualLayout>
      </c:layout>
      <c:barChart>
        <c:barDir val="col"/>
        <c:grouping val="clustered"/>
        <c:varyColors val="0"/>
        <c:ser>
          <c:idx val="0"/>
          <c:order val="0"/>
          <c:tx>
            <c:strRef>
              <c:f>Analysis!$J$2</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Analysis!$I$3:$I$9</c:f>
              <c:strCache>
                <c:ptCount val="6"/>
                <c:pt idx="0">
                  <c:v>North West</c:v>
                </c:pt>
                <c:pt idx="1">
                  <c:v>North Central</c:v>
                </c:pt>
                <c:pt idx="2">
                  <c:v>South West</c:v>
                </c:pt>
                <c:pt idx="3">
                  <c:v>South South</c:v>
                </c:pt>
                <c:pt idx="4">
                  <c:v>North East</c:v>
                </c:pt>
                <c:pt idx="5">
                  <c:v>South East</c:v>
                </c:pt>
              </c:strCache>
            </c:strRef>
          </c:cat>
          <c:val>
            <c:numRef>
              <c:f>Analysis!$J$3:$J$9</c:f>
              <c:numCache>
                <c:formatCode>0</c:formatCode>
                <c:ptCount val="6"/>
                <c:pt idx="0">
                  <c:v>1444</c:v>
                </c:pt>
                <c:pt idx="1">
                  <c:v>811</c:v>
                </c:pt>
                <c:pt idx="2">
                  <c:v>693</c:v>
                </c:pt>
                <c:pt idx="3">
                  <c:v>513</c:v>
                </c:pt>
                <c:pt idx="4">
                  <c:v>347</c:v>
                </c:pt>
                <c:pt idx="5">
                  <c:v>326</c:v>
                </c:pt>
              </c:numCache>
            </c:numRef>
          </c:val>
          <c:extLst>
            <c:ext xmlns:c16="http://schemas.microsoft.com/office/drawing/2014/chart" uri="{C3380CC4-5D6E-409C-BE32-E72D297353CC}">
              <c16:uniqueId val="{00000000-E224-4D10-AD6B-6CE753FF3B8C}"/>
            </c:ext>
          </c:extLst>
        </c:ser>
        <c:dLbls>
          <c:dLblPos val="outEnd"/>
          <c:showLegendKey val="0"/>
          <c:showVal val="1"/>
          <c:showCatName val="0"/>
          <c:showSerName val="0"/>
          <c:showPercent val="0"/>
          <c:showBubbleSize val="0"/>
        </c:dLbls>
        <c:gapWidth val="219"/>
        <c:overlap val="-27"/>
        <c:axId val="77473072"/>
        <c:axId val="77467792"/>
      </c:barChart>
      <c:catAx>
        <c:axId val="77473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67792"/>
        <c:crosses val="autoZero"/>
        <c:auto val="1"/>
        <c:lblAlgn val="ctr"/>
        <c:lblOffset val="100"/>
        <c:noMultiLvlLbl val="0"/>
      </c:catAx>
      <c:valAx>
        <c:axId val="77467792"/>
        <c:scaling>
          <c:orientation val="minMax"/>
        </c:scaling>
        <c:delete val="1"/>
        <c:axPos val="l"/>
        <c:numFmt formatCode="0" sourceLinked="1"/>
        <c:majorTickMark val="out"/>
        <c:minorTickMark val="none"/>
        <c:tickLblPos val="nextTo"/>
        <c:crossAx val="7747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571500</xdr:colOff>
      <xdr:row>1</xdr:row>
      <xdr:rowOff>0</xdr:rowOff>
    </xdr:from>
    <xdr:to>
      <xdr:col>15</xdr:col>
      <xdr:colOff>228600</xdr:colOff>
      <xdr:row>20</xdr:row>
      <xdr:rowOff>76200</xdr:rowOff>
    </xdr:to>
    <xdr:sp macro="" textlink="">
      <xdr:nvSpPr>
        <xdr:cNvPr id="2" name="Rectangle: Rounded Corners 1">
          <a:extLst>
            <a:ext uri="{FF2B5EF4-FFF2-40B4-BE49-F238E27FC236}">
              <a16:creationId xmlns:a16="http://schemas.microsoft.com/office/drawing/2014/main" id="{2EA25235-F166-B869-3928-EA55CC183679}"/>
            </a:ext>
          </a:extLst>
        </xdr:cNvPr>
        <xdr:cNvSpPr/>
      </xdr:nvSpPr>
      <xdr:spPr>
        <a:xfrm>
          <a:off x="571500" y="190500"/>
          <a:ext cx="8801100" cy="3695700"/>
        </a:xfrm>
        <a:prstGeom prst="roundRect">
          <a:avLst/>
        </a:prstGeom>
        <a:solidFill>
          <a:srgbClr val="00B050"/>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400050</xdr:colOff>
      <xdr:row>1</xdr:row>
      <xdr:rowOff>47625</xdr:rowOff>
    </xdr:from>
    <xdr:to>
      <xdr:col>13</xdr:col>
      <xdr:colOff>476250</xdr:colOff>
      <xdr:row>3</xdr:row>
      <xdr:rowOff>19050</xdr:rowOff>
    </xdr:to>
    <xdr:sp macro="" textlink="">
      <xdr:nvSpPr>
        <xdr:cNvPr id="3" name="TextBox 2">
          <a:extLst>
            <a:ext uri="{FF2B5EF4-FFF2-40B4-BE49-F238E27FC236}">
              <a16:creationId xmlns:a16="http://schemas.microsoft.com/office/drawing/2014/main" id="{4A442962-94F4-603B-BD1B-CC3380C8DF73}"/>
            </a:ext>
          </a:extLst>
        </xdr:cNvPr>
        <xdr:cNvSpPr txBox="1"/>
      </xdr:nvSpPr>
      <xdr:spPr>
        <a:xfrm>
          <a:off x="1619250" y="238125"/>
          <a:ext cx="67818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latin typeface="+mj-lt"/>
              <a:ea typeface="+mn-ea"/>
              <a:cs typeface="Times New Roman" panose="02020603050405020304" pitchFamily="18" charset="0"/>
            </a:rPr>
            <a:t>KIDNAPPING INCIDENTS</a:t>
          </a:r>
          <a:r>
            <a:rPr lang="en-US" sz="1600" b="1" baseline="0">
              <a:solidFill>
                <a:schemeClr val="bg1"/>
              </a:solidFill>
              <a:effectLst/>
              <a:latin typeface="+mj-lt"/>
              <a:ea typeface="+mn-ea"/>
              <a:cs typeface="Times New Roman" panose="02020603050405020304" pitchFamily="18" charset="0"/>
            </a:rPr>
            <a:t> ANALYSIS DASHBOARD (NIGERIA)</a:t>
          </a:r>
          <a:endParaRPr lang="en-US" sz="1600">
            <a:solidFill>
              <a:schemeClr val="bg1"/>
            </a:solidFill>
            <a:effectLst/>
            <a:latin typeface="+mj-lt"/>
            <a:cs typeface="Times New Roman" panose="02020603050405020304" pitchFamily="18" charset="0"/>
          </a:endParaRPr>
        </a:p>
        <a:p>
          <a:endParaRPr lang="en-US" sz="1100"/>
        </a:p>
      </xdr:txBody>
    </xdr:sp>
    <xdr:clientData/>
  </xdr:twoCellAnchor>
  <xdr:twoCellAnchor>
    <xdr:from>
      <xdr:col>1</xdr:col>
      <xdr:colOff>447675</xdr:colOff>
      <xdr:row>2</xdr:row>
      <xdr:rowOff>171450</xdr:rowOff>
    </xdr:from>
    <xdr:to>
      <xdr:col>14</xdr:col>
      <xdr:colOff>342900</xdr:colOff>
      <xdr:row>3</xdr:row>
      <xdr:rowOff>0</xdr:rowOff>
    </xdr:to>
    <xdr:cxnSp macro="">
      <xdr:nvCxnSpPr>
        <xdr:cNvPr id="5" name="Straight Connector 4">
          <a:extLst>
            <a:ext uri="{FF2B5EF4-FFF2-40B4-BE49-F238E27FC236}">
              <a16:creationId xmlns:a16="http://schemas.microsoft.com/office/drawing/2014/main" id="{3A2B8D54-5C83-5992-6332-14CE9FFCF858}"/>
            </a:ext>
          </a:extLst>
        </xdr:cNvPr>
        <xdr:cNvCxnSpPr/>
      </xdr:nvCxnSpPr>
      <xdr:spPr>
        <a:xfrm>
          <a:off x="1057275" y="552450"/>
          <a:ext cx="7820025"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371475</xdr:colOff>
      <xdr:row>3</xdr:row>
      <xdr:rowOff>66676</xdr:rowOff>
    </xdr:from>
    <xdr:to>
      <xdr:col>15</xdr:col>
      <xdr:colOff>66675</xdr:colOff>
      <xdr:row>8</xdr:row>
      <xdr:rowOff>66676</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40CE4558-D120-4486-B20C-21A13CA3E391}"/>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6467475" y="638176"/>
              <a:ext cx="2743200" cy="9525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4</xdr:col>
      <xdr:colOff>200025</xdr:colOff>
      <xdr:row>3</xdr:row>
      <xdr:rowOff>85725</xdr:rowOff>
    </xdr:from>
    <xdr:to>
      <xdr:col>10</xdr:col>
      <xdr:colOff>333374</xdr:colOff>
      <xdr:row>8</xdr:row>
      <xdr:rowOff>142875</xdr:rowOff>
    </xdr:to>
    <mc:AlternateContent xmlns:mc="http://schemas.openxmlformats.org/markup-compatibility/2006" xmlns:a14="http://schemas.microsoft.com/office/drawing/2010/main">
      <mc:Choice Requires="a14">
        <xdr:graphicFrame macro="">
          <xdr:nvGraphicFramePr>
            <xdr:cNvPr id="8" name="Region 2">
              <a:extLst>
                <a:ext uri="{FF2B5EF4-FFF2-40B4-BE49-F238E27FC236}">
                  <a16:creationId xmlns:a16="http://schemas.microsoft.com/office/drawing/2014/main" id="{6DB23945-F629-45B0-A83D-6CC48B7CF2C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638425" y="657225"/>
              <a:ext cx="3790949"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9523</xdr:colOff>
      <xdr:row>8</xdr:row>
      <xdr:rowOff>19050</xdr:rowOff>
    </xdr:from>
    <xdr:to>
      <xdr:col>3</xdr:col>
      <xdr:colOff>209550</xdr:colOff>
      <xdr:row>12</xdr:row>
      <xdr:rowOff>133350</xdr:rowOff>
    </xdr:to>
    <mc:AlternateContent xmlns:mc="http://schemas.openxmlformats.org/markup-compatibility/2006" xmlns:a14="http://schemas.microsoft.com/office/drawing/2010/main">
      <mc:Choice Requires="a14">
        <xdr:graphicFrame macro="">
          <xdr:nvGraphicFramePr>
            <xdr:cNvPr id="9" name="Year 2">
              <a:extLst>
                <a:ext uri="{FF2B5EF4-FFF2-40B4-BE49-F238E27FC236}">
                  <a16:creationId xmlns:a16="http://schemas.microsoft.com/office/drawing/2014/main" id="{84CDBCB5-994A-4490-8E76-CB3F7324EB6F}"/>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619123" y="1543050"/>
              <a:ext cx="1419227"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581024</xdr:colOff>
      <xdr:row>12</xdr:row>
      <xdr:rowOff>152400</xdr:rowOff>
    </xdr:from>
    <xdr:to>
      <xdr:col>3</xdr:col>
      <xdr:colOff>189440</xdr:colOff>
      <xdr:row>17</xdr:row>
      <xdr:rowOff>28575</xdr:rowOff>
    </xdr:to>
    <mc:AlternateContent xmlns:mc="http://schemas.openxmlformats.org/markup-compatibility/2006" xmlns:a14="http://schemas.microsoft.com/office/drawing/2010/main">
      <mc:Choice Requires="a14">
        <xdr:graphicFrame macro="">
          <xdr:nvGraphicFramePr>
            <xdr:cNvPr id="10" name="Urban_Rural 2">
              <a:extLst>
                <a:ext uri="{FF2B5EF4-FFF2-40B4-BE49-F238E27FC236}">
                  <a16:creationId xmlns:a16="http://schemas.microsoft.com/office/drawing/2014/main" id="{7D31D682-2EBA-437D-AA75-0A565C1FE0DB}"/>
                </a:ext>
              </a:extLst>
            </xdr:cNvPr>
            <xdr:cNvGraphicFramePr/>
          </xdr:nvGraphicFramePr>
          <xdr:xfrm>
            <a:off x="0" y="0"/>
            <a:ext cx="0" cy="0"/>
          </xdr:xfrm>
          <a:graphic>
            <a:graphicData uri="http://schemas.microsoft.com/office/drawing/2010/slicer">
              <sle:slicer xmlns:sle="http://schemas.microsoft.com/office/drawing/2010/slicer" name="Urban_Rural 2"/>
            </a:graphicData>
          </a:graphic>
        </xdr:graphicFrame>
      </mc:Choice>
      <mc:Fallback xmlns="">
        <xdr:sp macro="" textlink="">
          <xdr:nvSpPr>
            <xdr:cNvPr id="0" name=""/>
            <xdr:cNvSpPr>
              <a:spLocks noTextEdit="1"/>
            </xdr:cNvSpPr>
          </xdr:nvSpPr>
          <xdr:spPr>
            <a:xfrm>
              <a:off x="581024" y="2438400"/>
              <a:ext cx="1437216" cy="828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76199</xdr:colOff>
      <xdr:row>3</xdr:row>
      <xdr:rowOff>57150</xdr:rowOff>
    </xdr:from>
    <xdr:to>
      <xdr:col>4</xdr:col>
      <xdr:colOff>123824</xdr:colOff>
      <xdr:row>7</xdr:row>
      <xdr:rowOff>123825</xdr:rowOff>
    </xdr:to>
    <xdr:sp macro="" textlink="">
      <xdr:nvSpPr>
        <xdr:cNvPr id="48" name="Rectangle: Rounded Corners 47">
          <a:extLst>
            <a:ext uri="{FF2B5EF4-FFF2-40B4-BE49-F238E27FC236}">
              <a16:creationId xmlns:a16="http://schemas.microsoft.com/office/drawing/2014/main" id="{19B8F3FF-E08B-844E-BAAF-E5D14F3D0E41}"/>
            </a:ext>
          </a:extLst>
        </xdr:cNvPr>
        <xdr:cNvSpPr/>
      </xdr:nvSpPr>
      <xdr:spPr>
        <a:xfrm>
          <a:off x="685799" y="628650"/>
          <a:ext cx="1876425" cy="82867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200025</xdr:colOff>
      <xdr:row>4</xdr:row>
      <xdr:rowOff>66676</xdr:rowOff>
    </xdr:from>
    <xdr:to>
      <xdr:col>2</xdr:col>
      <xdr:colOff>28575</xdr:colOff>
      <xdr:row>6</xdr:row>
      <xdr:rowOff>95250</xdr:rowOff>
    </xdr:to>
    <xdr:pic>
      <xdr:nvPicPr>
        <xdr:cNvPr id="50" name="Graphic 49" descr="Group with solid fill">
          <a:extLst>
            <a:ext uri="{FF2B5EF4-FFF2-40B4-BE49-F238E27FC236}">
              <a16:creationId xmlns:a16="http://schemas.microsoft.com/office/drawing/2014/main" id="{65E408BC-10AE-25A5-D6A6-03CD5360655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09625" y="828676"/>
          <a:ext cx="438150" cy="409574"/>
        </a:xfrm>
        <a:prstGeom prst="rect">
          <a:avLst/>
        </a:prstGeom>
      </xdr:spPr>
    </xdr:pic>
    <xdr:clientData/>
  </xdr:twoCellAnchor>
  <xdr:twoCellAnchor>
    <xdr:from>
      <xdr:col>1</xdr:col>
      <xdr:colOff>447675</xdr:colOff>
      <xdr:row>3</xdr:row>
      <xdr:rowOff>95250</xdr:rowOff>
    </xdr:from>
    <xdr:to>
      <xdr:col>3</xdr:col>
      <xdr:colOff>561975</xdr:colOff>
      <xdr:row>4</xdr:row>
      <xdr:rowOff>171450</xdr:rowOff>
    </xdr:to>
    <xdr:sp macro="" textlink="">
      <xdr:nvSpPr>
        <xdr:cNvPr id="51" name="TextBox 50">
          <a:extLst>
            <a:ext uri="{FF2B5EF4-FFF2-40B4-BE49-F238E27FC236}">
              <a16:creationId xmlns:a16="http://schemas.microsoft.com/office/drawing/2014/main" id="{078205B4-4246-B225-7C9D-4FDB45F1E7B9}"/>
            </a:ext>
          </a:extLst>
        </xdr:cNvPr>
        <xdr:cNvSpPr txBox="1"/>
      </xdr:nvSpPr>
      <xdr:spPr>
        <a:xfrm>
          <a:off x="1057275" y="666750"/>
          <a:ext cx="1333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aseline="0">
              <a:solidFill>
                <a:schemeClr val="bg1"/>
              </a:solidFill>
            </a:rPr>
            <a:t>Total Victims_count</a:t>
          </a:r>
          <a:endParaRPr lang="en-US" sz="1100">
            <a:solidFill>
              <a:schemeClr val="bg1"/>
            </a:solidFill>
          </a:endParaRPr>
        </a:p>
      </xdr:txBody>
    </xdr:sp>
    <xdr:clientData/>
  </xdr:twoCellAnchor>
  <xdr:twoCellAnchor>
    <xdr:from>
      <xdr:col>1</xdr:col>
      <xdr:colOff>428626</xdr:colOff>
      <xdr:row>4</xdr:row>
      <xdr:rowOff>123825</xdr:rowOff>
    </xdr:from>
    <xdr:to>
      <xdr:col>3</xdr:col>
      <xdr:colOff>485776</xdr:colOff>
      <xdr:row>6</xdr:row>
      <xdr:rowOff>66675</xdr:rowOff>
    </xdr:to>
    <xdr:sp macro="" textlink="Analysis!L9">
      <xdr:nvSpPr>
        <xdr:cNvPr id="53" name="TextBox 52">
          <a:extLst>
            <a:ext uri="{FF2B5EF4-FFF2-40B4-BE49-F238E27FC236}">
              <a16:creationId xmlns:a16="http://schemas.microsoft.com/office/drawing/2014/main" id="{13151FDE-391D-1E54-0DD3-9943FBD458AC}"/>
            </a:ext>
          </a:extLst>
        </xdr:cNvPr>
        <xdr:cNvSpPr txBox="1"/>
      </xdr:nvSpPr>
      <xdr:spPr>
        <a:xfrm>
          <a:off x="1038226" y="885825"/>
          <a:ext cx="12763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2B48651-EB5D-4D2D-8187-B789B46EAE8A}" type="TxLink">
            <a:rPr lang="en-US" sz="1600" b="0" i="0" u="none" strike="noStrike">
              <a:solidFill>
                <a:schemeClr val="bg1"/>
              </a:solidFill>
              <a:latin typeface="Calibri"/>
              <a:ea typeface="Calibri"/>
              <a:cs typeface="Calibri"/>
            </a:rPr>
            <a:pPr algn="ctr"/>
            <a:t>4134</a:t>
          </a:fld>
          <a:endParaRPr lang="en-US" sz="1600">
            <a:solidFill>
              <a:schemeClr val="bg1"/>
            </a:solidFill>
          </a:endParaRPr>
        </a:p>
      </xdr:txBody>
    </xdr:sp>
    <xdr:clientData/>
  </xdr:twoCellAnchor>
  <xdr:twoCellAnchor>
    <xdr:from>
      <xdr:col>7</xdr:col>
      <xdr:colOff>333376</xdr:colOff>
      <xdr:row>8</xdr:row>
      <xdr:rowOff>171450</xdr:rowOff>
    </xdr:from>
    <xdr:to>
      <xdr:col>10</xdr:col>
      <xdr:colOff>561976</xdr:colOff>
      <xdr:row>19</xdr:row>
      <xdr:rowOff>133350</xdr:rowOff>
    </xdr:to>
    <xdr:graphicFrame macro="">
      <xdr:nvGraphicFramePr>
        <xdr:cNvPr id="59" name="Chart 58">
          <a:extLst>
            <a:ext uri="{FF2B5EF4-FFF2-40B4-BE49-F238E27FC236}">
              <a16:creationId xmlns:a16="http://schemas.microsoft.com/office/drawing/2014/main" id="{59CC7501-46F9-4A4D-9C7D-12BAF17DE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19051</xdr:colOff>
      <xdr:row>8</xdr:row>
      <xdr:rowOff>171450</xdr:rowOff>
    </xdr:from>
    <xdr:to>
      <xdr:col>14</xdr:col>
      <xdr:colOff>514351</xdr:colOff>
      <xdr:row>19</xdr:row>
      <xdr:rowOff>95250</xdr:rowOff>
    </xdr:to>
    <xdr:graphicFrame macro="">
      <xdr:nvGraphicFramePr>
        <xdr:cNvPr id="60" name="Chart 59">
          <a:extLst>
            <a:ext uri="{FF2B5EF4-FFF2-40B4-BE49-F238E27FC236}">
              <a16:creationId xmlns:a16="http://schemas.microsoft.com/office/drawing/2014/main" id="{10F84523-ABCF-4A32-9999-F4D74B0D5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285749</xdr:colOff>
      <xdr:row>8</xdr:row>
      <xdr:rowOff>161925</xdr:rowOff>
    </xdr:from>
    <xdr:to>
      <xdr:col>7</xdr:col>
      <xdr:colOff>285750</xdr:colOff>
      <xdr:row>19</xdr:row>
      <xdr:rowOff>161924</xdr:rowOff>
    </xdr:to>
    <xdr:graphicFrame macro="">
      <xdr:nvGraphicFramePr>
        <xdr:cNvPr id="64" name="Chart 63">
          <a:extLst>
            <a:ext uri="{FF2B5EF4-FFF2-40B4-BE49-F238E27FC236}">
              <a16:creationId xmlns:a16="http://schemas.microsoft.com/office/drawing/2014/main" id="{241ACD93-85A5-4C6D-8230-824A3EB9E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561975</xdr:colOff>
      <xdr:row>22</xdr:row>
      <xdr:rowOff>47625</xdr:rowOff>
    </xdr:from>
    <xdr:to>
      <xdr:col>15</xdr:col>
      <xdr:colOff>219075</xdr:colOff>
      <xdr:row>42</xdr:row>
      <xdr:rowOff>57151</xdr:rowOff>
    </xdr:to>
    <xdr:sp macro="" textlink="">
      <xdr:nvSpPr>
        <xdr:cNvPr id="65" name="Rectangle: Rounded Corners 64">
          <a:extLst>
            <a:ext uri="{FF2B5EF4-FFF2-40B4-BE49-F238E27FC236}">
              <a16:creationId xmlns:a16="http://schemas.microsoft.com/office/drawing/2014/main" id="{A74A1A3F-F152-7905-C9A3-6FE70B30A9C2}"/>
            </a:ext>
          </a:extLst>
        </xdr:cNvPr>
        <xdr:cNvSpPr/>
      </xdr:nvSpPr>
      <xdr:spPr>
        <a:xfrm>
          <a:off x="561975" y="4238625"/>
          <a:ext cx="8801100" cy="3819526"/>
        </a:xfrm>
        <a:prstGeom prst="roundRect">
          <a:avLst/>
        </a:prstGeom>
        <a:solidFill>
          <a:srgbClr val="00B050"/>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571500</xdr:colOff>
      <xdr:row>23</xdr:row>
      <xdr:rowOff>47626</xdr:rowOff>
    </xdr:from>
    <xdr:to>
      <xdr:col>10</xdr:col>
      <xdr:colOff>219075</xdr:colOff>
      <xdr:row>27</xdr:row>
      <xdr:rowOff>9526</xdr:rowOff>
    </xdr:to>
    <xdr:sp macro="" textlink="">
      <xdr:nvSpPr>
        <xdr:cNvPr id="66" name="Rectangle: Rounded Corners 65">
          <a:extLst>
            <a:ext uri="{FF2B5EF4-FFF2-40B4-BE49-F238E27FC236}">
              <a16:creationId xmlns:a16="http://schemas.microsoft.com/office/drawing/2014/main" id="{55131E31-548E-3E44-FC02-2E0F7AABADED}"/>
            </a:ext>
          </a:extLst>
        </xdr:cNvPr>
        <xdr:cNvSpPr/>
      </xdr:nvSpPr>
      <xdr:spPr>
        <a:xfrm>
          <a:off x="3619500" y="4429126"/>
          <a:ext cx="2695575" cy="72390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400050</xdr:colOff>
      <xdr:row>23</xdr:row>
      <xdr:rowOff>19051</xdr:rowOff>
    </xdr:from>
    <xdr:to>
      <xdr:col>14</xdr:col>
      <xdr:colOff>390525</xdr:colOff>
      <xdr:row>27</xdr:row>
      <xdr:rowOff>1</xdr:rowOff>
    </xdr:to>
    <xdr:sp macro="" textlink="">
      <xdr:nvSpPr>
        <xdr:cNvPr id="67" name="Rectangle: Rounded Corners 66">
          <a:extLst>
            <a:ext uri="{FF2B5EF4-FFF2-40B4-BE49-F238E27FC236}">
              <a16:creationId xmlns:a16="http://schemas.microsoft.com/office/drawing/2014/main" id="{E90394AB-2592-C0D0-3730-D2701FF65A6C}"/>
            </a:ext>
          </a:extLst>
        </xdr:cNvPr>
        <xdr:cNvSpPr/>
      </xdr:nvSpPr>
      <xdr:spPr>
        <a:xfrm>
          <a:off x="6496050" y="4400551"/>
          <a:ext cx="2428875" cy="74295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247648</xdr:colOff>
      <xdr:row>23</xdr:row>
      <xdr:rowOff>76201</xdr:rowOff>
    </xdr:from>
    <xdr:to>
      <xdr:col>5</xdr:col>
      <xdr:colOff>419100</xdr:colOff>
      <xdr:row>27</xdr:row>
      <xdr:rowOff>38101</xdr:rowOff>
    </xdr:to>
    <xdr:sp macro="" textlink="">
      <xdr:nvSpPr>
        <xdr:cNvPr id="68" name="Rectangle: Rounded Corners 67">
          <a:extLst>
            <a:ext uri="{FF2B5EF4-FFF2-40B4-BE49-F238E27FC236}">
              <a16:creationId xmlns:a16="http://schemas.microsoft.com/office/drawing/2014/main" id="{5C894E91-617E-3450-C6DA-EF8349F27CDA}"/>
            </a:ext>
          </a:extLst>
        </xdr:cNvPr>
        <xdr:cNvSpPr/>
      </xdr:nvSpPr>
      <xdr:spPr>
        <a:xfrm>
          <a:off x="857248" y="4457701"/>
          <a:ext cx="2609852" cy="72390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428625</xdr:colOff>
      <xdr:row>23</xdr:row>
      <xdr:rowOff>114300</xdr:rowOff>
    </xdr:from>
    <xdr:to>
      <xdr:col>5</xdr:col>
      <xdr:colOff>142874</xdr:colOff>
      <xdr:row>25</xdr:row>
      <xdr:rowOff>0</xdr:rowOff>
    </xdr:to>
    <xdr:sp macro="" textlink="">
      <xdr:nvSpPr>
        <xdr:cNvPr id="70" name="TextBox 69">
          <a:extLst>
            <a:ext uri="{FF2B5EF4-FFF2-40B4-BE49-F238E27FC236}">
              <a16:creationId xmlns:a16="http://schemas.microsoft.com/office/drawing/2014/main" id="{C2FB6E36-19F6-8F1C-7D4E-853358D0597F}"/>
            </a:ext>
          </a:extLst>
        </xdr:cNvPr>
        <xdr:cNvSpPr txBox="1"/>
      </xdr:nvSpPr>
      <xdr:spPr>
        <a:xfrm>
          <a:off x="1038225" y="4495800"/>
          <a:ext cx="215264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aseline="0">
              <a:solidFill>
                <a:schemeClr val="bg1"/>
              </a:solidFill>
            </a:rPr>
            <a:t>Total Ransom_demanded</a:t>
          </a:r>
          <a:endParaRPr lang="en-US" sz="1400">
            <a:solidFill>
              <a:schemeClr val="bg1"/>
            </a:solidFill>
          </a:endParaRPr>
        </a:p>
      </xdr:txBody>
    </xdr:sp>
    <xdr:clientData/>
  </xdr:twoCellAnchor>
  <xdr:twoCellAnchor>
    <xdr:from>
      <xdr:col>6</xdr:col>
      <xdr:colOff>285750</xdr:colOff>
      <xdr:row>23</xdr:row>
      <xdr:rowOff>76200</xdr:rowOff>
    </xdr:from>
    <xdr:to>
      <xdr:col>9</xdr:col>
      <xdr:colOff>476249</xdr:colOff>
      <xdr:row>24</xdr:row>
      <xdr:rowOff>152400</xdr:rowOff>
    </xdr:to>
    <xdr:sp macro="" textlink="">
      <xdr:nvSpPr>
        <xdr:cNvPr id="72" name="TextBox 71">
          <a:extLst>
            <a:ext uri="{FF2B5EF4-FFF2-40B4-BE49-F238E27FC236}">
              <a16:creationId xmlns:a16="http://schemas.microsoft.com/office/drawing/2014/main" id="{5858C3DB-B27D-1C95-0F1E-351B47E86615}"/>
            </a:ext>
          </a:extLst>
        </xdr:cNvPr>
        <xdr:cNvSpPr txBox="1"/>
      </xdr:nvSpPr>
      <xdr:spPr>
        <a:xfrm>
          <a:off x="3943350" y="4457700"/>
          <a:ext cx="201929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aseline="0">
              <a:solidFill>
                <a:schemeClr val="bg1"/>
              </a:solidFill>
            </a:rPr>
            <a:t>Total Ransom_paid</a:t>
          </a:r>
          <a:endParaRPr lang="en-US" sz="1400">
            <a:solidFill>
              <a:schemeClr val="bg1"/>
            </a:solidFill>
          </a:endParaRPr>
        </a:p>
      </xdr:txBody>
    </xdr:sp>
    <xdr:clientData/>
  </xdr:twoCellAnchor>
  <xdr:twoCellAnchor>
    <xdr:from>
      <xdr:col>10</xdr:col>
      <xdr:colOff>590551</xdr:colOff>
      <xdr:row>23</xdr:row>
      <xdr:rowOff>47625</xdr:rowOff>
    </xdr:from>
    <xdr:to>
      <xdr:col>13</xdr:col>
      <xdr:colOff>581025</xdr:colOff>
      <xdr:row>24</xdr:row>
      <xdr:rowOff>123825</xdr:rowOff>
    </xdr:to>
    <xdr:sp macro="" textlink="">
      <xdr:nvSpPr>
        <xdr:cNvPr id="73" name="TextBox 72">
          <a:extLst>
            <a:ext uri="{FF2B5EF4-FFF2-40B4-BE49-F238E27FC236}">
              <a16:creationId xmlns:a16="http://schemas.microsoft.com/office/drawing/2014/main" id="{11CFF3FF-4859-CB99-2EF9-9435C5A98BBB}"/>
            </a:ext>
          </a:extLst>
        </xdr:cNvPr>
        <xdr:cNvSpPr txBox="1"/>
      </xdr:nvSpPr>
      <xdr:spPr>
        <a:xfrm>
          <a:off x="6686551" y="4429125"/>
          <a:ext cx="181927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aseline="0">
              <a:solidFill>
                <a:schemeClr val="bg1"/>
              </a:solidFill>
            </a:rPr>
            <a:t>Total Ransom_gap</a:t>
          </a:r>
          <a:endParaRPr lang="en-US" sz="1400">
            <a:solidFill>
              <a:schemeClr val="bg1"/>
            </a:solidFill>
          </a:endParaRPr>
        </a:p>
      </xdr:txBody>
    </xdr:sp>
    <xdr:clientData/>
  </xdr:twoCellAnchor>
  <xdr:twoCellAnchor>
    <xdr:from>
      <xdr:col>2</xdr:col>
      <xdr:colOff>104775</xdr:colOff>
      <xdr:row>25</xdr:row>
      <xdr:rowOff>9525</xdr:rowOff>
    </xdr:from>
    <xdr:to>
      <xdr:col>4</xdr:col>
      <xdr:colOff>581024</xdr:colOff>
      <xdr:row>26</xdr:row>
      <xdr:rowOff>142875</xdr:rowOff>
    </xdr:to>
    <xdr:sp macro="" textlink="Analysis!J21">
      <xdr:nvSpPr>
        <xdr:cNvPr id="74" name="TextBox 73">
          <a:extLst>
            <a:ext uri="{FF2B5EF4-FFF2-40B4-BE49-F238E27FC236}">
              <a16:creationId xmlns:a16="http://schemas.microsoft.com/office/drawing/2014/main" id="{FD9E1EFE-FB8C-F2E9-EDC8-32AC22BDF888}"/>
            </a:ext>
          </a:extLst>
        </xdr:cNvPr>
        <xdr:cNvSpPr txBox="1"/>
      </xdr:nvSpPr>
      <xdr:spPr>
        <a:xfrm>
          <a:off x="1323975" y="4772025"/>
          <a:ext cx="1695449"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6527DC6-2EB1-4A0B-8C3F-244D095DDB81}" type="TxLink">
            <a:rPr lang="en-US" sz="1400" b="0" i="0" u="none" strike="noStrike">
              <a:solidFill>
                <a:schemeClr val="bg1"/>
              </a:solidFill>
              <a:latin typeface="Calibri"/>
              <a:ea typeface="Calibri"/>
              <a:cs typeface="Calibri"/>
            </a:rPr>
            <a:pPr algn="ctr"/>
            <a:t>₦7,698,737,693</a:t>
          </a:fld>
          <a:endParaRPr lang="en-US" sz="1400">
            <a:solidFill>
              <a:schemeClr val="bg1"/>
            </a:solidFill>
          </a:endParaRPr>
        </a:p>
      </xdr:txBody>
    </xdr:sp>
    <xdr:clientData/>
  </xdr:twoCellAnchor>
  <xdr:twoCellAnchor>
    <xdr:from>
      <xdr:col>2</xdr:col>
      <xdr:colOff>504826</xdr:colOff>
      <xdr:row>45</xdr:row>
      <xdr:rowOff>123825</xdr:rowOff>
    </xdr:from>
    <xdr:to>
      <xdr:col>4</xdr:col>
      <xdr:colOff>561976</xdr:colOff>
      <xdr:row>47</xdr:row>
      <xdr:rowOff>66675</xdr:rowOff>
    </xdr:to>
    <xdr:sp macro="" textlink="total">
      <xdr:nvSpPr>
        <xdr:cNvPr id="75" name="TextBox 74">
          <a:extLst>
            <a:ext uri="{FF2B5EF4-FFF2-40B4-BE49-F238E27FC236}">
              <a16:creationId xmlns:a16="http://schemas.microsoft.com/office/drawing/2014/main" id="{15115EF0-20A6-CD43-4352-FA607D22B9D7}"/>
            </a:ext>
          </a:extLst>
        </xdr:cNvPr>
        <xdr:cNvSpPr txBox="1"/>
      </xdr:nvSpPr>
      <xdr:spPr>
        <a:xfrm>
          <a:off x="1724026" y="8696325"/>
          <a:ext cx="12763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4136258-88E5-4F14-9A0F-380C49326B1D}" type="TxLink">
            <a:rPr lang="en-US" sz="1800" b="0" i="0" u="none" strike="noStrike">
              <a:solidFill>
                <a:schemeClr val="bg1"/>
              </a:solidFill>
              <a:latin typeface="Calibri"/>
              <a:ea typeface="Calibri"/>
              <a:cs typeface="Calibri"/>
            </a:rPr>
            <a:pPr algn="ctr"/>
            <a:t> </a:t>
          </a:fld>
          <a:endParaRPr lang="en-US" sz="1800">
            <a:solidFill>
              <a:schemeClr val="bg1"/>
            </a:solidFill>
          </a:endParaRPr>
        </a:p>
      </xdr:txBody>
    </xdr:sp>
    <xdr:clientData/>
  </xdr:twoCellAnchor>
  <xdr:twoCellAnchor>
    <xdr:from>
      <xdr:col>6</xdr:col>
      <xdr:colOff>457200</xdr:colOff>
      <xdr:row>24</xdr:row>
      <xdr:rowOff>142875</xdr:rowOff>
    </xdr:from>
    <xdr:to>
      <xdr:col>9</xdr:col>
      <xdr:colOff>200025</xdr:colOff>
      <xdr:row>26</xdr:row>
      <xdr:rowOff>85725</xdr:rowOff>
    </xdr:to>
    <xdr:sp macro="" textlink="PAID">
      <xdr:nvSpPr>
        <xdr:cNvPr id="76" name="TextBox 75">
          <a:extLst>
            <a:ext uri="{FF2B5EF4-FFF2-40B4-BE49-F238E27FC236}">
              <a16:creationId xmlns:a16="http://schemas.microsoft.com/office/drawing/2014/main" id="{2ED174BF-8A79-3EEA-0605-134E0F3F5B39}"/>
            </a:ext>
          </a:extLst>
        </xdr:cNvPr>
        <xdr:cNvSpPr txBox="1"/>
      </xdr:nvSpPr>
      <xdr:spPr>
        <a:xfrm>
          <a:off x="4114800" y="4714875"/>
          <a:ext cx="15716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0B04368-2174-4C67-B26C-CEBBEAF747DC}" type="TxLink">
            <a:rPr lang="en-US" sz="1400" b="0" i="0" u="none" strike="noStrike">
              <a:solidFill>
                <a:schemeClr val="bg1"/>
              </a:solidFill>
              <a:latin typeface="Calibri"/>
              <a:ea typeface="Calibri"/>
              <a:cs typeface="Calibri"/>
            </a:rPr>
            <a:pPr algn="ctr"/>
            <a:t>₦3,088,081,550</a:t>
          </a:fld>
          <a:endParaRPr lang="en-US" sz="1400">
            <a:solidFill>
              <a:schemeClr val="bg1"/>
            </a:solidFill>
          </a:endParaRPr>
        </a:p>
      </xdr:txBody>
    </xdr:sp>
    <xdr:clientData/>
  </xdr:twoCellAnchor>
  <xdr:twoCellAnchor>
    <xdr:from>
      <xdr:col>11</xdr:col>
      <xdr:colOff>123826</xdr:colOff>
      <xdr:row>24</xdr:row>
      <xdr:rowOff>95250</xdr:rowOff>
    </xdr:from>
    <xdr:to>
      <xdr:col>13</xdr:col>
      <xdr:colOff>590550</xdr:colOff>
      <xdr:row>26</xdr:row>
      <xdr:rowOff>38100</xdr:rowOff>
    </xdr:to>
    <xdr:sp macro="" textlink="GAP">
      <xdr:nvSpPr>
        <xdr:cNvPr id="77" name="TextBox 76">
          <a:extLst>
            <a:ext uri="{FF2B5EF4-FFF2-40B4-BE49-F238E27FC236}">
              <a16:creationId xmlns:a16="http://schemas.microsoft.com/office/drawing/2014/main" id="{F272F078-9A67-5A91-1C7C-997C1D137BA0}"/>
            </a:ext>
          </a:extLst>
        </xdr:cNvPr>
        <xdr:cNvSpPr txBox="1"/>
      </xdr:nvSpPr>
      <xdr:spPr>
        <a:xfrm>
          <a:off x="6829426" y="4667250"/>
          <a:ext cx="1685924"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EBAA10-267F-42DF-B62F-075D606B5EFA}" type="TxLink">
            <a:rPr lang="en-US" sz="1400" b="0" i="0" u="none" strike="noStrike">
              <a:solidFill>
                <a:schemeClr val="bg1"/>
              </a:solidFill>
              <a:latin typeface="Calibri"/>
              <a:ea typeface="Calibri"/>
              <a:cs typeface="Calibri"/>
            </a:rPr>
            <a:pPr algn="ctr"/>
            <a:t>₦4,610,656,143</a:t>
          </a:fld>
          <a:endParaRPr lang="en-US" sz="1400">
            <a:solidFill>
              <a:schemeClr val="bg1"/>
            </a:solidFill>
          </a:endParaRPr>
        </a:p>
      </xdr:txBody>
    </xdr:sp>
    <xdr:clientData/>
  </xdr:twoCellAnchor>
  <xdr:twoCellAnchor>
    <xdr:from>
      <xdr:col>1</xdr:col>
      <xdr:colOff>152400</xdr:colOff>
      <xdr:row>27</xdr:row>
      <xdr:rowOff>171449</xdr:rowOff>
    </xdr:from>
    <xdr:to>
      <xdr:col>5</xdr:col>
      <xdr:colOff>171450</xdr:colOff>
      <xdr:row>40</xdr:row>
      <xdr:rowOff>66674</xdr:rowOff>
    </xdr:to>
    <xdr:graphicFrame macro="">
      <xdr:nvGraphicFramePr>
        <xdr:cNvPr id="78" name="Chart 77">
          <a:extLst>
            <a:ext uri="{FF2B5EF4-FFF2-40B4-BE49-F238E27FC236}">
              <a16:creationId xmlns:a16="http://schemas.microsoft.com/office/drawing/2014/main" id="{1F8EE5AE-B68C-4A6D-A47A-B62E739CE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352424</xdr:colOff>
      <xdr:row>28</xdr:row>
      <xdr:rowOff>0</xdr:rowOff>
    </xdr:from>
    <xdr:to>
      <xdr:col>10</xdr:col>
      <xdr:colOff>209549</xdr:colOff>
      <xdr:row>40</xdr:row>
      <xdr:rowOff>66675</xdr:rowOff>
    </xdr:to>
    <xdr:graphicFrame macro="">
      <xdr:nvGraphicFramePr>
        <xdr:cNvPr id="79" name="Chart 78">
          <a:extLst>
            <a:ext uri="{FF2B5EF4-FFF2-40B4-BE49-F238E27FC236}">
              <a16:creationId xmlns:a16="http://schemas.microsoft.com/office/drawing/2014/main" id="{72E83E09-BC96-4BA5-B1EB-00F12B81D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352425</xdr:colOff>
      <xdr:row>28</xdr:row>
      <xdr:rowOff>57149</xdr:rowOff>
    </xdr:from>
    <xdr:to>
      <xdr:col>14</xdr:col>
      <xdr:colOff>542925</xdr:colOff>
      <xdr:row>40</xdr:row>
      <xdr:rowOff>19050</xdr:rowOff>
    </xdr:to>
    <xdr:graphicFrame macro="">
      <xdr:nvGraphicFramePr>
        <xdr:cNvPr id="82" name="Chart 81">
          <a:extLst>
            <a:ext uri="{FF2B5EF4-FFF2-40B4-BE49-F238E27FC236}">
              <a16:creationId xmlns:a16="http://schemas.microsoft.com/office/drawing/2014/main" id="{85F03A66-B776-4B98-AAF7-2896A24CC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238125</xdr:colOff>
      <xdr:row>51</xdr:row>
      <xdr:rowOff>0</xdr:rowOff>
    </xdr:to>
    <xdr:sp macro="" textlink="">
      <xdr:nvSpPr>
        <xdr:cNvPr id="2" name="Rectangle: Rounded Corners 1">
          <a:extLst>
            <a:ext uri="{FF2B5EF4-FFF2-40B4-BE49-F238E27FC236}">
              <a16:creationId xmlns:a16="http://schemas.microsoft.com/office/drawing/2014/main" id="{3282C166-0113-A24C-7C5F-E54CF6970E08}"/>
            </a:ext>
          </a:extLst>
        </xdr:cNvPr>
        <xdr:cNvSpPr/>
      </xdr:nvSpPr>
      <xdr:spPr>
        <a:xfrm>
          <a:off x="0" y="0"/>
          <a:ext cx="11210925" cy="9715500"/>
        </a:xfrm>
        <a:prstGeom prst="roundRect">
          <a:avLst/>
        </a:prstGeom>
        <a:solidFill>
          <a:srgbClr val="00B050"/>
        </a:solidFill>
        <a:ln>
          <a:no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371475</xdr:colOff>
      <xdr:row>0</xdr:row>
      <xdr:rowOff>161925</xdr:rowOff>
    </xdr:from>
    <xdr:to>
      <xdr:col>14</xdr:col>
      <xdr:colOff>342900</xdr:colOff>
      <xdr:row>3</xdr:row>
      <xdr:rowOff>28575</xdr:rowOff>
    </xdr:to>
    <xdr:sp macro="" textlink="">
      <xdr:nvSpPr>
        <xdr:cNvPr id="3" name="TextBox 2">
          <a:extLst>
            <a:ext uri="{FF2B5EF4-FFF2-40B4-BE49-F238E27FC236}">
              <a16:creationId xmlns:a16="http://schemas.microsoft.com/office/drawing/2014/main" id="{BB65CFD8-E653-F841-95A3-ED7A815FDD7B}"/>
            </a:ext>
          </a:extLst>
        </xdr:cNvPr>
        <xdr:cNvSpPr txBox="1"/>
      </xdr:nvSpPr>
      <xdr:spPr>
        <a:xfrm>
          <a:off x="1590675" y="161925"/>
          <a:ext cx="72866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INTRODUCTION</a:t>
          </a:r>
        </a:p>
      </xdr:txBody>
    </xdr:sp>
    <xdr:clientData/>
  </xdr:twoCellAnchor>
  <xdr:twoCellAnchor>
    <xdr:from>
      <xdr:col>2</xdr:col>
      <xdr:colOff>219075</xdr:colOff>
      <xdr:row>8</xdr:row>
      <xdr:rowOff>57150</xdr:rowOff>
    </xdr:from>
    <xdr:to>
      <xdr:col>14</xdr:col>
      <xdr:colOff>190500</xdr:colOff>
      <xdr:row>10</xdr:row>
      <xdr:rowOff>114300</xdr:rowOff>
    </xdr:to>
    <xdr:sp macro="" textlink="">
      <xdr:nvSpPr>
        <xdr:cNvPr id="4" name="TextBox 3">
          <a:extLst>
            <a:ext uri="{FF2B5EF4-FFF2-40B4-BE49-F238E27FC236}">
              <a16:creationId xmlns:a16="http://schemas.microsoft.com/office/drawing/2014/main" id="{B3E8234D-EF48-5D0D-6475-4038C479F6AD}"/>
            </a:ext>
          </a:extLst>
        </xdr:cNvPr>
        <xdr:cNvSpPr txBox="1"/>
      </xdr:nvSpPr>
      <xdr:spPr>
        <a:xfrm>
          <a:off x="1438275" y="1581150"/>
          <a:ext cx="72866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KEY</a:t>
          </a:r>
          <a:r>
            <a:rPr lang="en-US" sz="2000" b="1" baseline="0">
              <a:solidFill>
                <a:schemeClr val="bg1"/>
              </a:solidFill>
            </a:rPr>
            <a:t> INSIGHT</a:t>
          </a:r>
          <a:endParaRPr lang="en-US" sz="2000" b="1">
            <a:solidFill>
              <a:schemeClr val="bg1"/>
            </a:solidFill>
          </a:endParaRPr>
        </a:p>
      </xdr:txBody>
    </xdr:sp>
    <xdr:clientData/>
  </xdr:twoCellAnchor>
  <xdr:twoCellAnchor>
    <xdr:from>
      <xdr:col>0</xdr:col>
      <xdr:colOff>438149</xdr:colOff>
      <xdr:row>3</xdr:row>
      <xdr:rowOff>104775</xdr:rowOff>
    </xdr:from>
    <xdr:to>
      <xdr:col>17</xdr:col>
      <xdr:colOff>76200</xdr:colOff>
      <xdr:row>8</xdr:row>
      <xdr:rowOff>76201</xdr:rowOff>
    </xdr:to>
    <xdr:sp macro="" textlink="">
      <xdr:nvSpPr>
        <xdr:cNvPr id="6" name="TextBox 5">
          <a:extLst>
            <a:ext uri="{FF2B5EF4-FFF2-40B4-BE49-F238E27FC236}">
              <a16:creationId xmlns:a16="http://schemas.microsoft.com/office/drawing/2014/main" id="{2B1BFB9C-06D0-615B-3D69-F0DA1A0CAFBA}"/>
            </a:ext>
          </a:extLst>
        </xdr:cNvPr>
        <xdr:cNvSpPr txBox="1"/>
      </xdr:nvSpPr>
      <xdr:spPr>
        <a:xfrm>
          <a:off x="438149" y="676275"/>
          <a:ext cx="10001251" cy="923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solidFill>
                <a:schemeClr val="bg1"/>
              </a:solidFill>
            </a:rPr>
            <a:t>This project analyzes kidnapping incidents in Nigeria between 2023 and 2024, focusing on patterns in victim distribution, locations, outcomes, and ransom activities. It highlights key trends across regions and environments to provide a clearer understanding of the scale and impact of kidnapping. The insights generated aim to support informed decision-making, improve response strategies, and enhance efforts toward prevention and security.</a:t>
          </a:r>
          <a:endParaRPr lang="en-US" sz="1100">
            <a:solidFill>
              <a:schemeClr val="bg1"/>
            </a:solidFill>
          </a:endParaRPr>
        </a:p>
      </xdr:txBody>
    </xdr:sp>
    <xdr:clientData/>
  </xdr:twoCellAnchor>
  <xdr:twoCellAnchor>
    <xdr:from>
      <xdr:col>2</xdr:col>
      <xdr:colOff>0</xdr:colOff>
      <xdr:row>29</xdr:row>
      <xdr:rowOff>171450</xdr:rowOff>
    </xdr:from>
    <xdr:to>
      <xdr:col>13</xdr:col>
      <xdr:colOff>581025</xdr:colOff>
      <xdr:row>32</xdr:row>
      <xdr:rowOff>38100</xdr:rowOff>
    </xdr:to>
    <xdr:sp macro="" textlink="">
      <xdr:nvSpPr>
        <xdr:cNvPr id="7" name="TextBox 6">
          <a:extLst>
            <a:ext uri="{FF2B5EF4-FFF2-40B4-BE49-F238E27FC236}">
              <a16:creationId xmlns:a16="http://schemas.microsoft.com/office/drawing/2014/main" id="{1758D790-A4F5-18CB-2893-C352A14E05DD}"/>
            </a:ext>
          </a:extLst>
        </xdr:cNvPr>
        <xdr:cNvSpPr txBox="1"/>
      </xdr:nvSpPr>
      <xdr:spPr>
        <a:xfrm>
          <a:off x="1219200" y="5695950"/>
          <a:ext cx="72866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RECOMENDATION</a:t>
          </a:r>
        </a:p>
      </xdr:txBody>
    </xdr:sp>
    <xdr:clientData/>
  </xdr:twoCellAnchor>
  <xdr:twoCellAnchor>
    <xdr:from>
      <xdr:col>0</xdr:col>
      <xdr:colOff>228600</xdr:colOff>
      <xdr:row>11</xdr:row>
      <xdr:rowOff>66675</xdr:rowOff>
    </xdr:from>
    <xdr:to>
      <xdr:col>18</xdr:col>
      <xdr:colOff>76200</xdr:colOff>
      <xdr:row>29</xdr:row>
      <xdr:rowOff>114301</xdr:rowOff>
    </xdr:to>
    <xdr:sp macro="" textlink="">
      <xdr:nvSpPr>
        <xdr:cNvPr id="8" name="TextBox 7">
          <a:extLst>
            <a:ext uri="{FF2B5EF4-FFF2-40B4-BE49-F238E27FC236}">
              <a16:creationId xmlns:a16="http://schemas.microsoft.com/office/drawing/2014/main" id="{0598493A-6E7B-F61D-5B99-D768BD8CB766}"/>
            </a:ext>
          </a:extLst>
        </xdr:cNvPr>
        <xdr:cNvSpPr txBox="1"/>
      </xdr:nvSpPr>
      <xdr:spPr>
        <a:xfrm>
          <a:off x="228600" y="2162175"/>
          <a:ext cx="10820400" cy="3476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0" i="0">
            <a:solidFill>
              <a:schemeClr val="bg1"/>
            </a:solidFill>
            <a:effectLst/>
            <a:latin typeface="+mn-lt"/>
            <a:ea typeface="+mn-ea"/>
            <a:cs typeface="+mn-cs"/>
          </a:endParaRPr>
        </a:p>
        <a:p>
          <a:r>
            <a:rPr lang="en-US" sz="1100" b="0" i="0">
              <a:solidFill>
                <a:schemeClr val="bg1"/>
              </a:solidFill>
              <a:effectLst/>
              <a:latin typeface="+mn-lt"/>
              <a:ea typeface="+mn-ea"/>
              <a:cs typeface="+mn-cs"/>
            </a:rPr>
            <a:t>The data shows that kidnapping incidents are not evenly distributed across regions. The </a:t>
          </a:r>
          <a:r>
            <a:rPr lang="en-US" sz="1100" b="1" i="0">
              <a:solidFill>
                <a:schemeClr val="bg1"/>
              </a:solidFill>
              <a:effectLst/>
              <a:latin typeface="+mn-lt"/>
              <a:ea typeface="+mn-ea"/>
              <a:cs typeface="+mn-cs"/>
            </a:rPr>
            <a:t>North West</a:t>
          </a:r>
          <a:r>
            <a:rPr lang="en-US" sz="1100" b="0" i="0">
              <a:solidFill>
                <a:schemeClr val="bg1"/>
              </a:solidFill>
              <a:effectLst/>
              <a:latin typeface="+mn-lt"/>
              <a:ea typeface="+mn-ea"/>
              <a:cs typeface="+mn-cs"/>
            </a:rPr>
            <a:t> records the highest number of victims, significantly higher than other regions, indicating it as a major hotspot. In contrast, regions like the </a:t>
          </a:r>
          <a:r>
            <a:rPr lang="en-US" sz="1100" b="1" i="0">
              <a:solidFill>
                <a:schemeClr val="bg1"/>
              </a:solidFill>
              <a:effectLst/>
              <a:latin typeface="+mn-lt"/>
              <a:ea typeface="+mn-ea"/>
              <a:cs typeface="+mn-cs"/>
            </a:rPr>
            <a:t>South East</a:t>
          </a:r>
          <a:r>
            <a:rPr lang="en-US" sz="1100" b="0" i="0">
              <a:solidFill>
                <a:schemeClr val="bg1"/>
              </a:solidFill>
              <a:effectLst/>
              <a:latin typeface="+mn-lt"/>
              <a:ea typeface="+mn-ea"/>
              <a:cs typeface="+mn-cs"/>
            </a:rPr>
            <a:t> and </a:t>
          </a:r>
          <a:r>
            <a:rPr lang="en-US" sz="1100" b="1" i="0">
              <a:solidFill>
                <a:schemeClr val="bg1"/>
              </a:solidFill>
              <a:effectLst/>
              <a:latin typeface="+mn-lt"/>
              <a:ea typeface="+mn-ea"/>
              <a:cs typeface="+mn-cs"/>
            </a:rPr>
            <a:t>North East</a:t>
          </a:r>
          <a:r>
            <a:rPr lang="en-US" sz="1100" b="0" i="0">
              <a:solidFill>
                <a:schemeClr val="bg1"/>
              </a:solidFill>
              <a:effectLst/>
              <a:latin typeface="+mn-lt"/>
              <a:ea typeface="+mn-ea"/>
              <a:cs typeface="+mn-cs"/>
            </a:rPr>
            <a:t> report comparatively lower cases.</a:t>
          </a:r>
        </a:p>
        <a:p>
          <a:endParaRPr lang="en-US" sz="1100" b="0" i="0">
            <a:solidFill>
              <a:schemeClr val="bg1"/>
            </a:solidFill>
            <a:effectLst/>
            <a:latin typeface="+mn-lt"/>
            <a:ea typeface="+mn-ea"/>
            <a:cs typeface="+mn-cs"/>
          </a:endParaRPr>
        </a:p>
        <a:p>
          <a:r>
            <a:rPr lang="en-US" sz="1100" b="0" i="0">
              <a:solidFill>
                <a:schemeClr val="bg1"/>
              </a:solidFill>
              <a:effectLst/>
              <a:latin typeface="+mn-lt"/>
              <a:ea typeface="+mn-ea"/>
              <a:cs typeface="+mn-cs"/>
            </a:rPr>
            <a:t>Looking at locations, kidnappings occur most frequently on </a:t>
          </a:r>
          <a:r>
            <a:rPr lang="en-US" sz="1100" b="1" i="0">
              <a:solidFill>
                <a:schemeClr val="bg1"/>
              </a:solidFill>
              <a:effectLst/>
              <a:latin typeface="+mn-lt"/>
              <a:ea typeface="+mn-ea"/>
              <a:cs typeface="+mn-cs"/>
            </a:rPr>
            <a:t>roads and schools</a:t>
          </a:r>
          <a:r>
            <a:rPr lang="en-US" sz="1100" b="0" i="0">
              <a:solidFill>
                <a:schemeClr val="bg1"/>
              </a:solidFill>
              <a:effectLst/>
              <a:latin typeface="+mn-lt"/>
              <a:ea typeface="+mn-ea"/>
              <a:cs typeface="+mn-cs"/>
            </a:rPr>
            <a:t>, suggesting that transit routes and public institutions are high-risk areas. Farms and residential areas also contribute notable figures, indicating that both rural and semi-urban environments are affected.</a:t>
          </a:r>
        </a:p>
        <a:p>
          <a:endParaRPr lang="en-US" sz="1100" b="0" i="0">
            <a:solidFill>
              <a:schemeClr val="bg1"/>
            </a:solidFill>
            <a:effectLst/>
            <a:latin typeface="+mn-lt"/>
            <a:ea typeface="+mn-ea"/>
            <a:cs typeface="+mn-cs"/>
          </a:endParaRPr>
        </a:p>
        <a:p>
          <a:r>
            <a:rPr lang="en-US" sz="1100" b="0" i="0">
              <a:solidFill>
                <a:schemeClr val="bg1"/>
              </a:solidFill>
              <a:effectLst/>
              <a:latin typeface="+mn-lt"/>
              <a:ea typeface="+mn-ea"/>
              <a:cs typeface="+mn-cs"/>
            </a:rPr>
            <a:t>In terms of </a:t>
          </a:r>
          <a:r>
            <a:rPr lang="en-US" sz="1100" b="1" i="0">
              <a:solidFill>
                <a:schemeClr val="bg1"/>
              </a:solidFill>
              <a:effectLst/>
              <a:latin typeface="+mn-lt"/>
              <a:ea typeface="+mn-ea"/>
              <a:cs typeface="+mn-cs"/>
            </a:rPr>
            <a:t>urban vs rural distribution</a:t>
          </a:r>
          <a:r>
            <a:rPr lang="en-US" sz="1100" b="0" i="0">
              <a:solidFill>
                <a:schemeClr val="bg1"/>
              </a:solidFill>
              <a:effectLst/>
              <a:latin typeface="+mn-lt"/>
              <a:ea typeface="+mn-ea"/>
              <a:cs typeface="+mn-cs"/>
            </a:rPr>
            <a:t>, rural areas account for the majority (about 59%) of victims. This suggests weaker security presence and higher vulnerability in rural communities.</a:t>
          </a:r>
        </a:p>
        <a:p>
          <a:r>
            <a:rPr lang="en-US" sz="1100" b="0" i="0">
              <a:solidFill>
                <a:schemeClr val="bg1"/>
              </a:solidFill>
              <a:effectLst/>
              <a:latin typeface="+mn-lt"/>
              <a:ea typeface="+mn-ea"/>
              <a:cs typeface="+mn-cs"/>
            </a:rPr>
            <a:t>The </a:t>
          </a:r>
          <a:r>
            <a:rPr lang="en-US" sz="1100" b="1" i="0">
              <a:solidFill>
                <a:schemeClr val="bg1"/>
              </a:solidFill>
              <a:effectLst/>
              <a:latin typeface="+mn-lt"/>
              <a:ea typeface="+mn-ea"/>
              <a:cs typeface="+mn-cs"/>
            </a:rPr>
            <a:t>survival analysis</a:t>
          </a:r>
          <a:r>
            <a:rPr lang="en-US" sz="1100" b="0" i="0">
              <a:solidFill>
                <a:schemeClr val="bg1"/>
              </a:solidFill>
              <a:effectLst/>
              <a:latin typeface="+mn-lt"/>
              <a:ea typeface="+mn-ea"/>
              <a:cs typeface="+mn-cs"/>
            </a:rPr>
            <a:t> reveals that a larger proportion of victims are rescued or remain alive (43%), but a significant percentage are either dead (29%) or unaccounted for (28%). This highlights serious concerns about victim safety and rescue effectiveness.</a:t>
          </a:r>
        </a:p>
        <a:p>
          <a:endParaRPr lang="en-US" sz="1100" b="0" i="0">
            <a:solidFill>
              <a:schemeClr val="bg1"/>
            </a:solidFill>
            <a:effectLst/>
            <a:latin typeface="+mn-lt"/>
            <a:ea typeface="+mn-ea"/>
            <a:cs typeface="+mn-cs"/>
          </a:endParaRPr>
        </a:p>
        <a:p>
          <a:r>
            <a:rPr lang="en-US" sz="1100" b="0" i="0">
              <a:solidFill>
                <a:schemeClr val="bg1"/>
              </a:solidFill>
              <a:effectLst/>
              <a:latin typeface="+mn-lt"/>
              <a:ea typeface="+mn-ea"/>
              <a:cs typeface="+mn-cs"/>
            </a:rPr>
            <a:t>When examining outcomes, the number of </a:t>
          </a:r>
          <a:r>
            <a:rPr lang="en-US" sz="1100" b="1" i="0">
              <a:solidFill>
                <a:schemeClr val="bg1"/>
              </a:solidFill>
              <a:effectLst/>
              <a:latin typeface="+mn-lt"/>
              <a:ea typeface="+mn-ea"/>
              <a:cs typeface="+mn-cs"/>
            </a:rPr>
            <a:t>kidnapped and killed victims is high</a:t>
          </a:r>
          <a:r>
            <a:rPr lang="en-US" sz="1100" b="0" i="0">
              <a:solidFill>
                <a:schemeClr val="bg1"/>
              </a:solidFill>
              <a:effectLst/>
              <a:latin typeface="+mn-lt"/>
              <a:ea typeface="+mn-ea"/>
              <a:cs typeface="+mn-cs"/>
            </a:rPr>
            <a:t>, with fewer victims successfully escaping or being released. This indicates a severe threat level associated with these incidents.</a:t>
          </a:r>
        </a:p>
        <a:p>
          <a:endParaRPr lang="en-US" sz="1100" b="0" i="0">
            <a:solidFill>
              <a:schemeClr val="bg1"/>
            </a:solidFill>
            <a:effectLst/>
            <a:latin typeface="+mn-lt"/>
            <a:ea typeface="+mn-ea"/>
            <a:cs typeface="+mn-cs"/>
          </a:endParaRPr>
        </a:p>
        <a:p>
          <a:r>
            <a:rPr lang="en-US" sz="1100" b="0" i="0">
              <a:solidFill>
                <a:schemeClr val="bg1"/>
              </a:solidFill>
              <a:effectLst/>
              <a:latin typeface="+mn-lt"/>
              <a:ea typeface="+mn-ea"/>
              <a:cs typeface="+mn-cs"/>
            </a:rPr>
            <a:t>From a financial perspective, there is a substantial gap between ransom demanded and ransom paid. While over ₦7.6 billion was demanded, only about ₦3.1 billion was paid, leaving a </a:t>
          </a:r>
          <a:r>
            <a:rPr lang="en-US" sz="1100" b="1" i="0">
              <a:solidFill>
                <a:schemeClr val="bg1"/>
              </a:solidFill>
              <a:effectLst/>
              <a:latin typeface="+mn-lt"/>
              <a:ea typeface="+mn-ea"/>
              <a:cs typeface="+mn-cs"/>
            </a:rPr>
            <a:t>ransom gap of over ₦4.6 billion</a:t>
          </a:r>
          <a:r>
            <a:rPr lang="en-US" sz="1100" b="0" i="0">
              <a:solidFill>
                <a:schemeClr val="bg1"/>
              </a:solidFill>
              <a:effectLst/>
              <a:latin typeface="+mn-lt"/>
              <a:ea typeface="+mn-ea"/>
              <a:cs typeface="+mn-cs"/>
            </a:rPr>
            <a:t>. This gap may influence prolonged captivity or increased risk to victims.</a:t>
          </a:r>
        </a:p>
        <a:p>
          <a:endParaRPr lang="en-US" sz="1100" b="0" i="0">
            <a:solidFill>
              <a:schemeClr val="bg1"/>
            </a:solidFill>
            <a:effectLst/>
            <a:latin typeface="+mn-lt"/>
            <a:ea typeface="+mn-ea"/>
            <a:cs typeface="+mn-cs"/>
          </a:endParaRPr>
        </a:p>
        <a:p>
          <a:r>
            <a:rPr lang="en-US" sz="1100" b="0" i="0">
              <a:solidFill>
                <a:schemeClr val="bg1"/>
              </a:solidFill>
              <a:effectLst/>
              <a:latin typeface="+mn-lt"/>
              <a:ea typeface="+mn-ea"/>
              <a:cs typeface="+mn-cs"/>
            </a:rPr>
            <a:t>The trend over time shows fluctuations in incidents across months, with noticeable peaks, suggesting possible seasonal or situational influences on kidnapping activities.</a:t>
          </a:r>
        </a:p>
        <a:p>
          <a:endParaRPr lang="en-US" sz="1100"/>
        </a:p>
      </xdr:txBody>
    </xdr:sp>
    <xdr:clientData/>
  </xdr:twoCellAnchor>
  <xdr:twoCellAnchor>
    <xdr:from>
      <xdr:col>0</xdr:col>
      <xdr:colOff>123825</xdr:colOff>
      <xdr:row>32</xdr:row>
      <xdr:rowOff>114299</xdr:rowOff>
    </xdr:from>
    <xdr:to>
      <xdr:col>17</xdr:col>
      <xdr:colOff>581025</xdr:colOff>
      <xdr:row>46</xdr:row>
      <xdr:rowOff>114300</xdr:rowOff>
    </xdr:to>
    <xdr:sp macro="" textlink="">
      <xdr:nvSpPr>
        <xdr:cNvPr id="9" name="TextBox 8">
          <a:extLst>
            <a:ext uri="{FF2B5EF4-FFF2-40B4-BE49-F238E27FC236}">
              <a16:creationId xmlns:a16="http://schemas.microsoft.com/office/drawing/2014/main" id="{2C9ED446-3D30-2C9A-7F0C-48DF70AEE0D9}"/>
            </a:ext>
          </a:extLst>
        </xdr:cNvPr>
        <xdr:cNvSpPr txBox="1"/>
      </xdr:nvSpPr>
      <xdr:spPr>
        <a:xfrm>
          <a:off x="123825" y="6210299"/>
          <a:ext cx="10820400" cy="2667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0" i="0">
            <a:solidFill>
              <a:schemeClr val="bg1"/>
            </a:solidFill>
            <a:effectLst/>
            <a:latin typeface="+mn-lt"/>
            <a:ea typeface="+mn-ea"/>
            <a:cs typeface="+mn-cs"/>
          </a:endParaRPr>
        </a:p>
        <a:p>
          <a:r>
            <a:rPr lang="en-US" sz="1100" b="0" i="0">
              <a:solidFill>
                <a:schemeClr val="bg1"/>
              </a:solidFill>
              <a:effectLst/>
              <a:latin typeface="+mn-lt"/>
              <a:ea typeface="+mn-ea"/>
              <a:cs typeface="+mn-cs"/>
            </a:rPr>
            <a:t>Security efforts should be intensified in high-risk regions, especially the North West, through increased surveillance, patrols, and intelligence gathering. Special attention should also be given to rural areas where vulnerability is higher.</a:t>
          </a:r>
        </a:p>
        <a:p>
          <a:endParaRPr lang="en-US" sz="1100" b="0" i="0">
            <a:solidFill>
              <a:schemeClr val="bg1"/>
            </a:solidFill>
            <a:effectLst/>
            <a:latin typeface="+mn-lt"/>
            <a:ea typeface="+mn-ea"/>
            <a:cs typeface="+mn-cs"/>
          </a:endParaRPr>
        </a:p>
        <a:p>
          <a:r>
            <a:rPr lang="en-US" sz="1100" b="0" i="0">
              <a:solidFill>
                <a:schemeClr val="bg1"/>
              </a:solidFill>
              <a:effectLst/>
              <a:latin typeface="+mn-lt"/>
              <a:ea typeface="+mn-ea"/>
              <a:cs typeface="+mn-cs"/>
            </a:rPr>
            <a:t>There is a need to improve security on </a:t>
          </a:r>
          <a:r>
            <a:rPr lang="en-US" sz="1100" b="1" i="0">
              <a:solidFill>
                <a:schemeClr val="bg1"/>
              </a:solidFill>
              <a:effectLst/>
              <a:latin typeface="+mn-lt"/>
              <a:ea typeface="+mn-ea"/>
              <a:cs typeface="+mn-cs"/>
            </a:rPr>
            <a:t>roads and around schools</a:t>
          </a:r>
          <a:r>
            <a:rPr lang="en-US" sz="1100" b="0" i="0">
              <a:solidFill>
                <a:schemeClr val="bg1"/>
              </a:solidFill>
              <a:effectLst/>
              <a:latin typeface="+mn-lt"/>
              <a:ea typeface="+mn-ea"/>
              <a:cs typeface="+mn-cs"/>
            </a:rPr>
            <a:t>, including checkpoints, monitoring systems, and community policing initiatives to reduce exposure in these hotspots.</a:t>
          </a:r>
        </a:p>
        <a:p>
          <a:endParaRPr lang="en-US" sz="1100" b="0" i="0">
            <a:solidFill>
              <a:schemeClr val="bg1"/>
            </a:solidFill>
            <a:effectLst/>
            <a:latin typeface="+mn-lt"/>
            <a:ea typeface="+mn-ea"/>
            <a:cs typeface="+mn-cs"/>
          </a:endParaRPr>
        </a:p>
        <a:p>
          <a:r>
            <a:rPr lang="en-US" sz="1100" b="0" i="0">
              <a:solidFill>
                <a:schemeClr val="bg1"/>
              </a:solidFill>
              <a:effectLst/>
              <a:latin typeface="+mn-lt"/>
              <a:ea typeface="+mn-ea"/>
              <a:cs typeface="+mn-cs"/>
            </a:rPr>
            <a:t>Government and security agencies should strengthen </a:t>
          </a:r>
          <a:r>
            <a:rPr lang="en-US" sz="1100" b="1" i="0">
              <a:solidFill>
                <a:schemeClr val="bg1"/>
              </a:solidFill>
              <a:effectLst/>
              <a:latin typeface="+mn-lt"/>
              <a:ea typeface="+mn-ea"/>
              <a:cs typeface="+mn-cs"/>
            </a:rPr>
            <a:t>rescue operations and rapid response systems</a:t>
          </a:r>
          <a:r>
            <a:rPr lang="en-US" sz="1100" b="0" i="0">
              <a:solidFill>
                <a:schemeClr val="bg1"/>
              </a:solidFill>
              <a:effectLst/>
              <a:latin typeface="+mn-lt"/>
              <a:ea typeface="+mn-ea"/>
              <a:cs typeface="+mn-cs"/>
            </a:rPr>
            <a:t> to improve survival outcomes and reduce the number of deaths and missing victims.</a:t>
          </a:r>
        </a:p>
        <a:p>
          <a:r>
            <a:rPr lang="en-US" sz="1100" b="0" i="0">
              <a:solidFill>
                <a:schemeClr val="bg1"/>
              </a:solidFill>
              <a:effectLst/>
              <a:latin typeface="+mn-lt"/>
              <a:ea typeface="+mn-ea"/>
              <a:cs typeface="+mn-cs"/>
            </a:rPr>
            <a:t>Community awareness programs should be implemented to educate citizens on safety measures, early warning signs, and how to respond during kidnapping incidents.</a:t>
          </a:r>
        </a:p>
        <a:p>
          <a:endParaRPr lang="en-US" sz="1100" b="0" i="0">
            <a:solidFill>
              <a:schemeClr val="bg1"/>
            </a:solidFill>
            <a:effectLst/>
            <a:latin typeface="+mn-lt"/>
            <a:ea typeface="+mn-ea"/>
            <a:cs typeface="+mn-cs"/>
          </a:endParaRPr>
        </a:p>
        <a:p>
          <a:r>
            <a:rPr lang="en-US" sz="1100" b="0" i="0">
              <a:solidFill>
                <a:schemeClr val="bg1"/>
              </a:solidFill>
              <a:effectLst/>
              <a:latin typeface="+mn-lt"/>
              <a:ea typeface="+mn-ea"/>
              <a:cs typeface="+mn-cs"/>
            </a:rPr>
            <a:t>To address the ransom issue, authorities should develop stricter policies and tracking mechanisms to reduce ransom payments while focusing on dismantling kidnapping networks financially.</a:t>
          </a:r>
        </a:p>
        <a:p>
          <a:endParaRPr lang="en-US" sz="1100" b="0" i="0">
            <a:solidFill>
              <a:schemeClr val="bg1"/>
            </a:solidFill>
            <a:effectLst/>
            <a:latin typeface="+mn-lt"/>
            <a:ea typeface="+mn-ea"/>
            <a:cs typeface="+mn-cs"/>
          </a:endParaRPr>
        </a:p>
        <a:p>
          <a:r>
            <a:rPr lang="en-US" sz="1100" b="0" i="0">
              <a:solidFill>
                <a:schemeClr val="bg1"/>
              </a:solidFill>
              <a:effectLst/>
              <a:latin typeface="+mn-lt"/>
              <a:ea typeface="+mn-ea"/>
              <a:cs typeface="+mn-cs"/>
            </a:rPr>
            <a:t>Finally, continuous data monitoring and analysis should be maintained to track trends, evaluate interventions, and support evidence-based decision-making.</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NNIE'S ThinkPad" refreshedDate="46141.652718750003" createdVersion="8" refreshedVersion="8" minRefreshableVersion="3" recordCount="200" xr:uid="{372F953C-F7FE-4992-AE1E-DD13E4CC7E9E}">
  <cacheSource type="worksheet">
    <worksheetSource name="Table1"/>
  </cacheSource>
  <cacheFields count="17">
    <cacheField name="Incident_ID" numFmtId="49">
      <sharedItems/>
    </cacheField>
    <cacheField name="Date" numFmtId="15">
      <sharedItems containsSemiMixedTypes="0" containsNonDate="0" containsDate="1" containsString="0" minDate="2023-01-01T00:00:00" maxDate="2024-05-16T00:00:00" count="167">
        <d v="2023-10-29T00:00:00"/>
        <d v="2023-06-14T00:00:00"/>
        <d v="2024-01-05T00:00:00"/>
        <d v="2023-08-23T00:00:00"/>
        <d v="2023-02-15T00:00:00"/>
        <d v="2023-03-27T00:00:00"/>
        <d v="2023-09-20T00:00:00"/>
        <d v="2023-02-22T00:00:00"/>
        <d v="2023-04-15T00:00:00"/>
        <d v="2023-05-26T00:00:00"/>
        <d v="2024-05-14T00:00:00"/>
        <d v="2023-01-22T00:00:00"/>
        <d v="2024-01-29T00:00:00"/>
        <d v="2023-11-23T00:00:00"/>
        <d v="2023-07-14T00:00:00"/>
        <d v="2023-06-29T00:00:00"/>
        <d v="2024-04-17T00:00:00"/>
        <d v="2023-10-14T00:00:00"/>
        <d v="2023-09-27T00:00:00"/>
        <d v="2023-08-07T00:00:00"/>
        <d v="2023-02-28T00:00:00"/>
        <d v="2023-02-07T00:00:00"/>
        <d v="2023-06-15T00:00:00"/>
        <d v="2024-05-10T00:00:00"/>
        <d v="2023-12-26T00:00:00"/>
        <d v="2023-01-11T00:00:00"/>
        <d v="2024-01-17T00:00:00"/>
        <d v="2023-12-11T00:00:00"/>
        <d v="2023-10-08T00:00:00"/>
        <d v="2024-04-10T00:00:00"/>
        <d v="2024-03-30T00:00:00"/>
        <d v="2023-10-03T00:00:00"/>
        <d v="2023-12-02T00:00:00"/>
        <d v="2023-02-25T00:00:00"/>
        <d v="2023-03-29T00:00:00"/>
        <d v="2023-03-31T00:00:00"/>
        <d v="2023-08-29T00:00:00"/>
        <d v="2023-07-03T00:00:00"/>
        <d v="2024-01-07T00:00:00"/>
        <d v="2023-03-13T00:00:00"/>
        <d v="2023-09-26T00:00:00"/>
        <d v="2023-03-24T00:00:00"/>
        <d v="2023-12-30T00:00:00"/>
        <d v="2023-07-27T00:00:00"/>
        <d v="2024-01-24T00:00:00"/>
        <d v="2024-01-04T00:00:00"/>
        <d v="2023-03-26T00:00:00"/>
        <d v="2024-01-19T00:00:00"/>
        <d v="2023-01-24T00:00:00"/>
        <d v="2023-08-04T00:00:00"/>
        <d v="2023-10-20T00:00:00"/>
        <d v="2023-09-29T00:00:00"/>
        <d v="2024-02-20T00:00:00"/>
        <d v="2023-12-17T00:00:00"/>
        <d v="2023-04-09T00:00:00"/>
        <d v="2023-05-01T00:00:00"/>
        <d v="2023-11-16T00:00:00"/>
        <d v="2024-03-09T00:00:00"/>
        <d v="2023-12-25T00:00:00"/>
        <d v="2023-09-21T00:00:00"/>
        <d v="2023-12-23T00:00:00"/>
        <d v="2023-03-30T00:00:00"/>
        <d v="2023-08-18T00:00:00"/>
        <d v="2023-08-16T00:00:00"/>
        <d v="2024-03-21T00:00:00"/>
        <d v="2023-01-04T00:00:00"/>
        <d v="2023-05-13T00:00:00"/>
        <d v="2023-10-21T00:00:00"/>
        <d v="2024-01-31T00:00:00"/>
        <d v="2023-04-27T00:00:00"/>
        <d v="2023-11-11T00:00:00"/>
        <d v="2024-05-05T00:00:00"/>
        <d v="2024-02-19T00:00:00"/>
        <d v="2024-04-26T00:00:00"/>
        <d v="2023-11-02T00:00:00"/>
        <d v="2023-09-08T00:00:00"/>
        <d v="2023-10-22T00:00:00"/>
        <d v="2023-09-07T00:00:00"/>
        <d v="2024-03-14T00:00:00"/>
        <d v="2023-09-18T00:00:00"/>
        <d v="2023-12-20T00:00:00"/>
        <d v="2023-03-16T00:00:00"/>
        <d v="2024-02-12T00:00:00"/>
        <d v="2023-01-18T00:00:00"/>
        <d v="2023-11-15T00:00:00"/>
        <d v="2023-04-10T00:00:00"/>
        <d v="2024-02-23T00:00:00"/>
        <d v="2023-05-28T00:00:00"/>
        <d v="2023-03-17T00:00:00"/>
        <d v="2023-05-06T00:00:00"/>
        <d v="2024-05-06T00:00:00"/>
        <d v="2023-12-24T00:00:00"/>
        <d v="2023-09-16T00:00:00"/>
        <d v="2023-06-30T00:00:00"/>
        <d v="2023-06-20T00:00:00"/>
        <d v="2023-10-09T00:00:00"/>
        <d v="2023-08-15T00:00:00"/>
        <d v="2024-02-15T00:00:00"/>
        <d v="2023-02-14T00:00:00"/>
        <d v="2024-01-02T00:00:00"/>
        <d v="2023-02-18T00:00:00"/>
        <d v="2023-04-02T00:00:00"/>
        <d v="2023-11-29T00:00:00"/>
        <d v="2023-01-30T00:00:00"/>
        <d v="2023-12-01T00:00:00"/>
        <d v="2024-03-18T00:00:00"/>
        <d v="2023-05-05T00:00:00"/>
        <d v="2023-01-31T00:00:00"/>
        <d v="2023-10-18T00:00:00"/>
        <d v="2023-07-24T00:00:00"/>
        <d v="2023-04-29T00:00:00"/>
        <d v="2024-04-27T00:00:00"/>
        <d v="2024-03-16T00:00:00"/>
        <d v="2024-02-27T00:00:00"/>
        <d v="2023-05-03T00:00:00"/>
        <d v="2023-05-19T00:00:00"/>
        <d v="2024-05-15T00:00:00"/>
        <d v="2023-10-01T00:00:00"/>
        <d v="2023-08-13T00:00:00"/>
        <d v="2024-04-19T00:00:00"/>
        <d v="2023-12-10T00:00:00"/>
        <d v="2023-02-17T00:00:00"/>
        <d v="2024-03-08T00:00:00"/>
        <d v="2024-03-31T00:00:00"/>
        <d v="2023-11-17T00:00:00"/>
        <d v="2023-01-16T00:00:00"/>
        <d v="2023-07-19T00:00:00"/>
        <d v="2023-03-20T00:00:00"/>
        <d v="2023-07-18T00:00:00"/>
        <d v="2023-03-25T00:00:00"/>
        <d v="2024-01-23T00:00:00"/>
        <d v="2023-01-01T00:00:00"/>
        <d v="2023-05-31T00:00:00"/>
        <d v="2023-07-08T00:00:00"/>
        <d v="2023-10-17T00:00:00"/>
        <d v="2023-12-14T00:00:00"/>
        <d v="2023-07-06T00:00:00"/>
        <d v="2023-08-09T00:00:00"/>
        <d v="2024-02-07T00:00:00"/>
        <d v="2023-06-13T00:00:00"/>
        <d v="2024-04-24T00:00:00"/>
        <d v="2023-05-11T00:00:00"/>
        <d v="2023-01-08T00:00:00"/>
        <d v="2023-03-12T00:00:00"/>
        <d v="2023-11-12T00:00:00"/>
        <d v="2023-03-21T00:00:00"/>
        <d v="2023-03-01T00:00:00"/>
        <d v="2023-01-09T00:00:00"/>
        <d v="2024-05-02T00:00:00"/>
        <d v="2023-12-13T00:00:00"/>
        <d v="2023-08-05T00:00:00"/>
        <d v="2023-11-25T00:00:00"/>
        <d v="2023-02-20T00:00:00"/>
        <d v="2023-09-04T00:00:00"/>
        <d v="2023-07-29T00:00:00"/>
        <d v="2023-12-06T00:00:00"/>
        <d v="2023-10-02T00:00:00"/>
        <d v="2023-08-26T00:00:00"/>
        <d v="2024-03-24T00:00:00"/>
        <d v="2023-02-19T00:00:00"/>
        <d v="2023-09-15T00:00:00"/>
        <d v="2023-04-17T00:00:00"/>
        <d v="2023-10-13T00:00:00"/>
        <d v="2023-09-03T00:00:00"/>
        <d v="2024-01-30T00:00:00"/>
        <d v="2024-02-01T00:00:00"/>
        <d v="2023-09-28T00:00:00"/>
      </sharedItems>
    </cacheField>
    <cacheField name="Month" numFmtId="164">
      <sharedItems count="12">
        <s v="Oct"/>
        <s v="Jun"/>
        <s v="Jan"/>
        <s v="Aug"/>
        <s v="Feb"/>
        <s v="Mar"/>
        <s v="Sep"/>
        <s v="Apr"/>
        <s v="May"/>
        <s v="Nov"/>
        <s v="Jul"/>
        <s v="Dec"/>
      </sharedItems>
    </cacheField>
    <cacheField name="Year" numFmtId="164">
      <sharedItems count="2">
        <s v="2023"/>
        <s v="2024"/>
      </sharedItems>
    </cacheField>
    <cacheField name="State" numFmtId="49">
      <sharedItems count="13">
        <s v="Anambra"/>
        <s v="Delta"/>
        <s v="Benue"/>
        <s v="Rivers"/>
        <s v="Kaduna"/>
        <s v="Katsina"/>
        <s v="Oyo"/>
        <s v="Kano"/>
        <s v="Borno"/>
        <s v="Ogun"/>
        <s v="Abuja"/>
        <s v="Zamfara"/>
        <s v="Lagos"/>
      </sharedItems>
    </cacheField>
    <cacheField name="Region" numFmtId="49">
      <sharedItems count="6">
        <s v="South East"/>
        <s v="South South"/>
        <s v="North Central"/>
        <s v="North West"/>
        <s v="South West"/>
        <s v="North East"/>
      </sharedItems>
    </cacheField>
    <cacheField name="Location_Type" numFmtId="49">
      <sharedItems count="7">
        <s v="Waterway"/>
        <s v="School"/>
        <s v="Market"/>
        <s v="Village"/>
        <s v="Residential"/>
        <s v="Road"/>
        <s v="Farm"/>
      </sharedItems>
    </cacheField>
    <cacheField name="Victims_Count" numFmtId="1">
      <sharedItems containsSemiMixedTypes="0" containsString="0" containsNumber="1" containsInteger="1" minValue="1" maxValue="40"/>
    </cacheField>
    <cacheField name="Ransom_Demanded_NGN" numFmtId="165">
      <sharedItems containsSemiMixedTypes="0" containsString="0" containsNumber="1" containsInteger="1" minValue="0" maxValue="148818146"/>
    </cacheField>
    <cacheField name="Ransom_Paid_NGN" numFmtId="165">
      <sharedItems containsSemiMixedTypes="0" containsString="0" containsNumber="1" containsInteger="1" minValue="0" maxValue="98681187"/>
    </cacheField>
    <cacheField name="Ransom_Gap" numFmtId="165">
      <sharedItems containsSemiMixedTypes="0" containsString="0" containsNumber="1" containsInteger="1" minValue="-91448340" maxValue="146174916"/>
    </cacheField>
    <cacheField name="Outcome" numFmtId="49">
      <sharedItems count="4">
        <s v="Kidnapped"/>
        <s v="Killed"/>
        <s v="Escaped"/>
        <s v="Released"/>
      </sharedItems>
    </cacheField>
    <cacheField name="Survival_flag2" numFmtId="49">
      <sharedItems count="3">
        <s v="Unknown"/>
        <s v="Dead"/>
        <s v="Alive"/>
      </sharedItems>
    </cacheField>
    <cacheField name="Security_Response" numFmtId="49">
      <sharedItems/>
    </cacheField>
    <cacheField name="Urban_Rural" numFmtId="49">
      <sharedItems count="2">
        <s v="Urban"/>
        <s v="Rural"/>
      </sharedItems>
    </cacheField>
    <cacheField name="Latitude" numFmtId="2">
      <sharedItems containsSemiMixedTypes="0" containsString="0" containsNumber="1" minValue="4.75" maxValue="12.99"/>
    </cacheField>
    <cacheField name="Longitude" numFmtId="2">
      <sharedItems containsSemiMixedTypes="0" containsString="0" containsNumber="1" minValue="3.3" maxValue="13.15"/>
    </cacheField>
  </cacheFields>
  <extLst>
    <ext xmlns:x14="http://schemas.microsoft.com/office/spreadsheetml/2009/9/main" uri="{725AE2AE-9491-48be-B2B4-4EB974FC3084}">
      <x14:pivotCacheDefinition pivotCacheId="21043038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INC001"/>
    <x v="0"/>
    <x v="0"/>
    <x v="0"/>
    <x v="0"/>
    <x v="0"/>
    <x v="0"/>
    <n v="35"/>
    <n v="72497088"/>
    <n v="0"/>
    <n v="72497088"/>
    <x v="0"/>
    <x v="0"/>
    <s v="Quick"/>
    <x v="0"/>
    <n v="6.21"/>
    <n v="7.07"/>
  </r>
  <r>
    <s v="INC002"/>
    <x v="1"/>
    <x v="1"/>
    <x v="0"/>
    <x v="1"/>
    <x v="1"/>
    <x v="1"/>
    <n v="33"/>
    <n v="77888592"/>
    <n v="0"/>
    <n v="77888592"/>
    <x v="1"/>
    <x v="1"/>
    <s v="Moderate"/>
    <x v="0"/>
    <n v="5.7"/>
    <n v="5.9"/>
  </r>
  <r>
    <s v="INC003"/>
    <x v="2"/>
    <x v="2"/>
    <x v="1"/>
    <x v="2"/>
    <x v="2"/>
    <x v="2"/>
    <n v="27"/>
    <n v="134801379"/>
    <n v="79002054"/>
    <n v="55799325"/>
    <x v="2"/>
    <x v="2"/>
    <s v="Delayed"/>
    <x v="0"/>
    <n v="7.73"/>
    <n v="8.5399999999999991"/>
  </r>
  <r>
    <s v="INC004"/>
    <x v="3"/>
    <x v="3"/>
    <x v="0"/>
    <x v="3"/>
    <x v="1"/>
    <x v="0"/>
    <n v="2"/>
    <n v="76320051"/>
    <n v="24647031"/>
    <n v="51673020"/>
    <x v="0"/>
    <x v="0"/>
    <s v="No Response"/>
    <x v="0"/>
    <n v="4.75"/>
    <n v="7.01"/>
  </r>
  <r>
    <s v="INC005"/>
    <x v="4"/>
    <x v="4"/>
    <x v="0"/>
    <x v="4"/>
    <x v="3"/>
    <x v="3"/>
    <n v="26"/>
    <n v="0"/>
    <n v="41156046"/>
    <n v="-41156046"/>
    <x v="0"/>
    <x v="0"/>
    <s v="Quick"/>
    <x v="1"/>
    <n v="10.52"/>
    <n v="7.44"/>
  </r>
  <r>
    <s v="INC006"/>
    <x v="5"/>
    <x v="5"/>
    <x v="0"/>
    <x v="3"/>
    <x v="1"/>
    <x v="1"/>
    <n v="32"/>
    <n v="75745312"/>
    <n v="0"/>
    <n v="75745312"/>
    <x v="1"/>
    <x v="1"/>
    <s v="Delayed"/>
    <x v="1"/>
    <n v="4.75"/>
    <n v="7.01"/>
  </r>
  <r>
    <s v="INC007"/>
    <x v="6"/>
    <x v="6"/>
    <x v="0"/>
    <x v="0"/>
    <x v="0"/>
    <x v="4"/>
    <n v="6"/>
    <n v="55275076"/>
    <n v="22699975"/>
    <n v="32575101"/>
    <x v="1"/>
    <x v="1"/>
    <s v="Moderate"/>
    <x v="0"/>
    <n v="6.21"/>
    <n v="7.07"/>
  </r>
  <r>
    <s v="INC008"/>
    <x v="7"/>
    <x v="4"/>
    <x v="0"/>
    <x v="5"/>
    <x v="3"/>
    <x v="4"/>
    <n v="7"/>
    <n v="0"/>
    <n v="50956733"/>
    <n v="-50956733"/>
    <x v="2"/>
    <x v="2"/>
    <s v="Delayed"/>
    <x v="1"/>
    <n v="12.99"/>
    <n v="7.6"/>
  </r>
  <r>
    <s v="INC009"/>
    <x v="8"/>
    <x v="7"/>
    <x v="0"/>
    <x v="0"/>
    <x v="0"/>
    <x v="4"/>
    <n v="26"/>
    <n v="0"/>
    <n v="88603491"/>
    <n v="-88603491"/>
    <x v="0"/>
    <x v="0"/>
    <s v="Quick"/>
    <x v="0"/>
    <n v="6.21"/>
    <n v="7.07"/>
  </r>
  <r>
    <s v="INC010"/>
    <x v="9"/>
    <x v="8"/>
    <x v="0"/>
    <x v="3"/>
    <x v="1"/>
    <x v="5"/>
    <n v="36"/>
    <n v="0"/>
    <n v="0"/>
    <n v="0"/>
    <x v="2"/>
    <x v="2"/>
    <s v="Delayed"/>
    <x v="1"/>
    <n v="4.75"/>
    <n v="7.01"/>
  </r>
  <r>
    <s v="INC011"/>
    <x v="10"/>
    <x v="8"/>
    <x v="1"/>
    <x v="6"/>
    <x v="4"/>
    <x v="3"/>
    <n v="2"/>
    <n v="0"/>
    <n v="58873884"/>
    <n v="-58873884"/>
    <x v="0"/>
    <x v="0"/>
    <s v="Delayed"/>
    <x v="1"/>
    <n v="7.38"/>
    <n v="3.93"/>
  </r>
  <r>
    <s v="INC012"/>
    <x v="11"/>
    <x v="2"/>
    <x v="0"/>
    <x v="7"/>
    <x v="3"/>
    <x v="4"/>
    <n v="9"/>
    <n v="0"/>
    <n v="0"/>
    <n v="0"/>
    <x v="0"/>
    <x v="0"/>
    <s v="Quick"/>
    <x v="1"/>
    <n v="12"/>
    <n v="8.52"/>
  </r>
  <r>
    <s v="INC013"/>
    <x v="12"/>
    <x v="2"/>
    <x v="1"/>
    <x v="8"/>
    <x v="5"/>
    <x v="6"/>
    <n v="5"/>
    <n v="50380697"/>
    <n v="0"/>
    <n v="50380697"/>
    <x v="1"/>
    <x v="1"/>
    <s v="Moderate"/>
    <x v="0"/>
    <n v="11.83"/>
    <n v="13.15"/>
  </r>
  <r>
    <s v="INC014"/>
    <x v="13"/>
    <x v="9"/>
    <x v="0"/>
    <x v="9"/>
    <x v="4"/>
    <x v="2"/>
    <n v="33"/>
    <n v="92733780"/>
    <n v="0"/>
    <n v="92733780"/>
    <x v="0"/>
    <x v="0"/>
    <s v="Moderate"/>
    <x v="0"/>
    <n v="6.9"/>
    <n v="3.3"/>
  </r>
  <r>
    <s v="INC015"/>
    <x v="14"/>
    <x v="10"/>
    <x v="0"/>
    <x v="4"/>
    <x v="3"/>
    <x v="0"/>
    <n v="37"/>
    <n v="0"/>
    <n v="0"/>
    <n v="0"/>
    <x v="1"/>
    <x v="1"/>
    <s v="No Response"/>
    <x v="0"/>
    <n v="10.52"/>
    <n v="7.44"/>
  </r>
  <r>
    <s v="INC016"/>
    <x v="15"/>
    <x v="1"/>
    <x v="0"/>
    <x v="10"/>
    <x v="2"/>
    <x v="5"/>
    <n v="31"/>
    <n v="21837137"/>
    <n v="0"/>
    <n v="21837137"/>
    <x v="0"/>
    <x v="0"/>
    <s v="Delayed"/>
    <x v="1"/>
    <n v="9.07"/>
    <n v="7.49"/>
  </r>
  <r>
    <s v="INC017"/>
    <x v="16"/>
    <x v="7"/>
    <x v="1"/>
    <x v="5"/>
    <x v="3"/>
    <x v="2"/>
    <n v="6"/>
    <n v="0"/>
    <n v="91448340"/>
    <n v="-91448340"/>
    <x v="2"/>
    <x v="2"/>
    <s v="Quick"/>
    <x v="1"/>
    <n v="12.99"/>
    <n v="7.6"/>
  </r>
  <r>
    <s v="INC018"/>
    <x v="17"/>
    <x v="0"/>
    <x v="0"/>
    <x v="4"/>
    <x v="3"/>
    <x v="3"/>
    <n v="27"/>
    <n v="102642847"/>
    <n v="0"/>
    <n v="102642847"/>
    <x v="0"/>
    <x v="0"/>
    <s v="Moderate"/>
    <x v="0"/>
    <n v="10.52"/>
    <n v="7.44"/>
  </r>
  <r>
    <s v="INC019"/>
    <x v="18"/>
    <x v="6"/>
    <x v="0"/>
    <x v="11"/>
    <x v="3"/>
    <x v="2"/>
    <n v="32"/>
    <n v="145308817"/>
    <n v="0"/>
    <n v="145308817"/>
    <x v="2"/>
    <x v="2"/>
    <s v="Moderate"/>
    <x v="1"/>
    <n v="12.17"/>
    <n v="6.66"/>
  </r>
  <r>
    <s v="INC020"/>
    <x v="19"/>
    <x v="3"/>
    <x v="0"/>
    <x v="12"/>
    <x v="4"/>
    <x v="2"/>
    <n v="18"/>
    <n v="0"/>
    <n v="8072532"/>
    <n v="-8072532"/>
    <x v="1"/>
    <x v="1"/>
    <s v="Delayed"/>
    <x v="1"/>
    <n v="6.52"/>
    <n v="3.37"/>
  </r>
  <r>
    <s v="INC021"/>
    <x v="20"/>
    <x v="4"/>
    <x v="0"/>
    <x v="3"/>
    <x v="1"/>
    <x v="6"/>
    <n v="5"/>
    <n v="0"/>
    <n v="71976301"/>
    <n v="-71976301"/>
    <x v="3"/>
    <x v="2"/>
    <s v="Delayed"/>
    <x v="0"/>
    <n v="4.75"/>
    <n v="7.01"/>
  </r>
  <r>
    <s v="INC022"/>
    <x v="21"/>
    <x v="4"/>
    <x v="0"/>
    <x v="5"/>
    <x v="3"/>
    <x v="3"/>
    <n v="12"/>
    <n v="0"/>
    <n v="0"/>
    <n v="0"/>
    <x v="0"/>
    <x v="0"/>
    <s v="Quick"/>
    <x v="0"/>
    <n v="12.99"/>
    <n v="7.6"/>
  </r>
  <r>
    <s v="INC023"/>
    <x v="22"/>
    <x v="1"/>
    <x v="0"/>
    <x v="7"/>
    <x v="3"/>
    <x v="0"/>
    <n v="36"/>
    <n v="47825360"/>
    <n v="0"/>
    <n v="47825360"/>
    <x v="0"/>
    <x v="0"/>
    <s v="No Response"/>
    <x v="0"/>
    <n v="12"/>
    <n v="8.52"/>
  </r>
  <r>
    <s v="INC024"/>
    <x v="23"/>
    <x v="8"/>
    <x v="1"/>
    <x v="10"/>
    <x v="2"/>
    <x v="1"/>
    <n v="35"/>
    <n v="38104390"/>
    <n v="35241691"/>
    <n v="2862699"/>
    <x v="2"/>
    <x v="2"/>
    <s v="Delayed"/>
    <x v="1"/>
    <n v="9.07"/>
    <n v="7.49"/>
  </r>
  <r>
    <s v="INC025"/>
    <x v="24"/>
    <x v="11"/>
    <x v="0"/>
    <x v="10"/>
    <x v="2"/>
    <x v="3"/>
    <n v="5"/>
    <n v="0"/>
    <n v="84955125"/>
    <n v="-84955125"/>
    <x v="1"/>
    <x v="1"/>
    <s v="No Response"/>
    <x v="1"/>
    <n v="9.07"/>
    <n v="7.49"/>
  </r>
  <r>
    <s v="INC026"/>
    <x v="25"/>
    <x v="2"/>
    <x v="0"/>
    <x v="8"/>
    <x v="5"/>
    <x v="0"/>
    <n v="39"/>
    <n v="96870496"/>
    <n v="0"/>
    <n v="96870496"/>
    <x v="2"/>
    <x v="2"/>
    <s v="Quick"/>
    <x v="1"/>
    <n v="11.83"/>
    <n v="13.15"/>
  </r>
  <r>
    <s v="INC027"/>
    <x v="26"/>
    <x v="2"/>
    <x v="1"/>
    <x v="12"/>
    <x v="4"/>
    <x v="5"/>
    <n v="1"/>
    <n v="0"/>
    <n v="30646944"/>
    <n v="-30646944"/>
    <x v="2"/>
    <x v="2"/>
    <s v="Delayed"/>
    <x v="0"/>
    <n v="6.52"/>
    <n v="3.37"/>
  </r>
  <r>
    <s v="INC028"/>
    <x v="27"/>
    <x v="11"/>
    <x v="0"/>
    <x v="9"/>
    <x v="4"/>
    <x v="1"/>
    <n v="20"/>
    <n v="65684623"/>
    <n v="0"/>
    <n v="65684623"/>
    <x v="2"/>
    <x v="2"/>
    <s v="Delayed"/>
    <x v="0"/>
    <n v="6.9"/>
    <n v="3.3"/>
  </r>
  <r>
    <s v="INC029"/>
    <x v="28"/>
    <x v="0"/>
    <x v="0"/>
    <x v="2"/>
    <x v="2"/>
    <x v="3"/>
    <n v="8"/>
    <n v="52950578"/>
    <n v="61257860"/>
    <n v="-8307282"/>
    <x v="2"/>
    <x v="2"/>
    <s v="Delayed"/>
    <x v="1"/>
    <n v="7.73"/>
    <n v="8.5399999999999991"/>
  </r>
  <r>
    <s v="INC030"/>
    <x v="29"/>
    <x v="7"/>
    <x v="1"/>
    <x v="0"/>
    <x v="0"/>
    <x v="4"/>
    <n v="20"/>
    <n v="0"/>
    <n v="0"/>
    <n v="0"/>
    <x v="2"/>
    <x v="2"/>
    <s v="Delayed"/>
    <x v="1"/>
    <n v="6.21"/>
    <n v="7.07"/>
  </r>
  <r>
    <s v="INC031"/>
    <x v="30"/>
    <x v="5"/>
    <x v="1"/>
    <x v="6"/>
    <x v="4"/>
    <x v="2"/>
    <n v="26"/>
    <n v="42890213"/>
    <n v="0"/>
    <n v="42890213"/>
    <x v="2"/>
    <x v="2"/>
    <s v="Delayed"/>
    <x v="0"/>
    <n v="7.38"/>
    <n v="3.93"/>
  </r>
  <r>
    <s v="INC032"/>
    <x v="31"/>
    <x v="0"/>
    <x v="0"/>
    <x v="9"/>
    <x v="4"/>
    <x v="0"/>
    <n v="25"/>
    <n v="125713988"/>
    <n v="0"/>
    <n v="125713988"/>
    <x v="2"/>
    <x v="2"/>
    <s v="Quick"/>
    <x v="1"/>
    <n v="6.9"/>
    <n v="3.3"/>
  </r>
  <r>
    <s v="INC033"/>
    <x v="32"/>
    <x v="11"/>
    <x v="0"/>
    <x v="4"/>
    <x v="3"/>
    <x v="1"/>
    <n v="20"/>
    <n v="0"/>
    <n v="0"/>
    <n v="0"/>
    <x v="2"/>
    <x v="2"/>
    <s v="Quick"/>
    <x v="0"/>
    <n v="10.52"/>
    <n v="7.44"/>
  </r>
  <r>
    <s v="INC034"/>
    <x v="33"/>
    <x v="4"/>
    <x v="0"/>
    <x v="7"/>
    <x v="3"/>
    <x v="2"/>
    <n v="13"/>
    <n v="126039628"/>
    <n v="0"/>
    <n v="126039628"/>
    <x v="3"/>
    <x v="2"/>
    <s v="No Response"/>
    <x v="0"/>
    <n v="12"/>
    <n v="8.52"/>
  </r>
  <r>
    <s v="INC035"/>
    <x v="34"/>
    <x v="5"/>
    <x v="0"/>
    <x v="7"/>
    <x v="3"/>
    <x v="4"/>
    <n v="17"/>
    <n v="0"/>
    <n v="74380311"/>
    <n v="-74380311"/>
    <x v="2"/>
    <x v="2"/>
    <s v="No Response"/>
    <x v="1"/>
    <n v="12"/>
    <n v="8.52"/>
  </r>
  <r>
    <s v="INC036"/>
    <x v="35"/>
    <x v="5"/>
    <x v="0"/>
    <x v="4"/>
    <x v="3"/>
    <x v="5"/>
    <n v="36"/>
    <n v="0"/>
    <n v="0"/>
    <n v="0"/>
    <x v="2"/>
    <x v="2"/>
    <s v="Quick"/>
    <x v="1"/>
    <n v="10.52"/>
    <n v="7.44"/>
  </r>
  <r>
    <s v="INC037"/>
    <x v="36"/>
    <x v="3"/>
    <x v="0"/>
    <x v="10"/>
    <x v="2"/>
    <x v="6"/>
    <n v="8"/>
    <n v="0"/>
    <n v="52917439"/>
    <n v="-52917439"/>
    <x v="3"/>
    <x v="2"/>
    <s v="No Response"/>
    <x v="1"/>
    <n v="9.07"/>
    <n v="7.49"/>
  </r>
  <r>
    <s v="INC038"/>
    <x v="37"/>
    <x v="10"/>
    <x v="0"/>
    <x v="5"/>
    <x v="3"/>
    <x v="4"/>
    <n v="22"/>
    <n v="7100511"/>
    <n v="37925306"/>
    <n v="-30824795"/>
    <x v="1"/>
    <x v="1"/>
    <s v="Delayed"/>
    <x v="0"/>
    <n v="12.99"/>
    <n v="7.6"/>
  </r>
  <r>
    <s v="INC039"/>
    <x v="38"/>
    <x v="2"/>
    <x v="1"/>
    <x v="8"/>
    <x v="5"/>
    <x v="5"/>
    <n v="10"/>
    <n v="0"/>
    <n v="26936358"/>
    <n v="-26936358"/>
    <x v="3"/>
    <x v="2"/>
    <s v="Moderate"/>
    <x v="1"/>
    <n v="11.83"/>
    <n v="13.15"/>
  </r>
  <r>
    <s v="INC040"/>
    <x v="39"/>
    <x v="5"/>
    <x v="0"/>
    <x v="4"/>
    <x v="3"/>
    <x v="1"/>
    <n v="14"/>
    <n v="34358871"/>
    <n v="0"/>
    <n v="34358871"/>
    <x v="1"/>
    <x v="1"/>
    <s v="Moderate"/>
    <x v="0"/>
    <n v="10.52"/>
    <n v="7.44"/>
  </r>
  <r>
    <s v="INC041"/>
    <x v="40"/>
    <x v="6"/>
    <x v="0"/>
    <x v="0"/>
    <x v="0"/>
    <x v="3"/>
    <n v="17"/>
    <n v="30087558"/>
    <n v="0"/>
    <n v="30087558"/>
    <x v="0"/>
    <x v="0"/>
    <s v="Moderate"/>
    <x v="0"/>
    <n v="6.21"/>
    <n v="7.07"/>
  </r>
  <r>
    <s v="INC042"/>
    <x v="9"/>
    <x v="8"/>
    <x v="0"/>
    <x v="12"/>
    <x v="4"/>
    <x v="1"/>
    <n v="34"/>
    <n v="0"/>
    <n v="0"/>
    <n v="0"/>
    <x v="0"/>
    <x v="0"/>
    <s v="Moderate"/>
    <x v="1"/>
    <n v="6.52"/>
    <n v="3.37"/>
  </r>
  <r>
    <s v="INC043"/>
    <x v="41"/>
    <x v="5"/>
    <x v="0"/>
    <x v="11"/>
    <x v="3"/>
    <x v="1"/>
    <n v="5"/>
    <n v="0"/>
    <n v="0"/>
    <n v="0"/>
    <x v="1"/>
    <x v="1"/>
    <s v="Quick"/>
    <x v="0"/>
    <n v="12.17"/>
    <n v="6.66"/>
  </r>
  <r>
    <s v="INC044"/>
    <x v="42"/>
    <x v="11"/>
    <x v="0"/>
    <x v="3"/>
    <x v="1"/>
    <x v="3"/>
    <n v="39"/>
    <n v="88459239"/>
    <n v="80862913"/>
    <n v="7596326"/>
    <x v="0"/>
    <x v="0"/>
    <s v="Moderate"/>
    <x v="1"/>
    <n v="4.75"/>
    <n v="7.01"/>
  </r>
  <r>
    <s v="INC045"/>
    <x v="43"/>
    <x v="10"/>
    <x v="0"/>
    <x v="3"/>
    <x v="1"/>
    <x v="5"/>
    <n v="21"/>
    <n v="0"/>
    <n v="0"/>
    <n v="0"/>
    <x v="2"/>
    <x v="2"/>
    <s v="Delayed"/>
    <x v="1"/>
    <n v="4.75"/>
    <n v="7.01"/>
  </r>
  <r>
    <s v="INC046"/>
    <x v="44"/>
    <x v="2"/>
    <x v="1"/>
    <x v="9"/>
    <x v="4"/>
    <x v="0"/>
    <n v="21"/>
    <n v="0"/>
    <n v="33212155"/>
    <n v="-33212155"/>
    <x v="0"/>
    <x v="0"/>
    <s v="Quick"/>
    <x v="0"/>
    <n v="6.9"/>
    <n v="3.3"/>
  </r>
  <r>
    <s v="INC047"/>
    <x v="45"/>
    <x v="2"/>
    <x v="1"/>
    <x v="9"/>
    <x v="4"/>
    <x v="6"/>
    <n v="36"/>
    <n v="126554589"/>
    <n v="79599340"/>
    <n v="46955249"/>
    <x v="1"/>
    <x v="1"/>
    <s v="No Response"/>
    <x v="0"/>
    <n v="6.9"/>
    <n v="3.3"/>
  </r>
  <r>
    <s v="INC048"/>
    <x v="46"/>
    <x v="5"/>
    <x v="0"/>
    <x v="10"/>
    <x v="2"/>
    <x v="4"/>
    <n v="36"/>
    <n v="131654088"/>
    <n v="0"/>
    <n v="131654088"/>
    <x v="3"/>
    <x v="2"/>
    <s v="Quick"/>
    <x v="1"/>
    <n v="9.07"/>
    <n v="7.49"/>
  </r>
  <r>
    <s v="INC049"/>
    <x v="47"/>
    <x v="2"/>
    <x v="1"/>
    <x v="12"/>
    <x v="4"/>
    <x v="2"/>
    <n v="23"/>
    <n v="0"/>
    <n v="0"/>
    <n v="0"/>
    <x v="2"/>
    <x v="2"/>
    <s v="Quick"/>
    <x v="1"/>
    <n v="6.52"/>
    <n v="3.37"/>
  </r>
  <r>
    <s v="INC050"/>
    <x v="48"/>
    <x v="2"/>
    <x v="0"/>
    <x v="0"/>
    <x v="0"/>
    <x v="5"/>
    <n v="2"/>
    <n v="0"/>
    <n v="0"/>
    <n v="0"/>
    <x v="2"/>
    <x v="2"/>
    <s v="Quick"/>
    <x v="0"/>
    <n v="6.21"/>
    <n v="7.07"/>
  </r>
  <r>
    <s v="INC051"/>
    <x v="49"/>
    <x v="3"/>
    <x v="0"/>
    <x v="10"/>
    <x v="2"/>
    <x v="5"/>
    <n v="17"/>
    <n v="39753311"/>
    <n v="19811174"/>
    <n v="19942137"/>
    <x v="3"/>
    <x v="2"/>
    <s v="Quick"/>
    <x v="1"/>
    <n v="9.07"/>
    <n v="7.49"/>
  </r>
  <r>
    <s v="INC052"/>
    <x v="50"/>
    <x v="0"/>
    <x v="0"/>
    <x v="11"/>
    <x v="3"/>
    <x v="0"/>
    <n v="37"/>
    <n v="36546178"/>
    <n v="0"/>
    <n v="36546178"/>
    <x v="0"/>
    <x v="0"/>
    <s v="Moderate"/>
    <x v="1"/>
    <n v="12.17"/>
    <n v="6.66"/>
  </r>
  <r>
    <s v="INC053"/>
    <x v="51"/>
    <x v="6"/>
    <x v="0"/>
    <x v="10"/>
    <x v="2"/>
    <x v="5"/>
    <n v="32"/>
    <n v="0"/>
    <n v="0"/>
    <n v="0"/>
    <x v="0"/>
    <x v="0"/>
    <s v="Quick"/>
    <x v="0"/>
    <n v="9.07"/>
    <n v="7.49"/>
  </r>
  <r>
    <s v="INC054"/>
    <x v="52"/>
    <x v="4"/>
    <x v="1"/>
    <x v="1"/>
    <x v="1"/>
    <x v="3"/>
    <n v="2"/>
    <n v="0"/>
    <n v="0"/>
    <n v="0"/>
    <x v="0"/>
    <x v="0"/>
    <s v="Moderate"/>
    <x v="1"/>
    <n v="5.7"/>
    <n v="5.9"/>
  </r>
  <r>
    <s v="INC055"/>
    <x v="53"/>
    <x v="11"/>
    <x v="0"/>
    <x v="11"/>
    <x v="3"/>
    <x v="6"/>
    <n v="27"/>
    <n v="121244091"/>
    <n v="0"/>
    <n v="121244091"/>
    <x v="0"/>
    <x v="0"/>
    <s v="Moderate"/>
    <x v="0"/>
    <n v="12.17"/>
    <n v="6.66"/>
  </r>
  <r>
    <s v="INC056"/>
    <x v="54"/>
    <x v="7"/>
    <x v="0"/>
    <x v="11"/>
    <x v="3"/>
    <x v="1"/>
    <n v="35"/>
    <n v="0"/>
    <n v="80424974"/>
    <n v="-80424974"/>
    <x v="3"/>
    <x v="2"/>
    <s v="Delayed"/>
    <x v="0"/>
    <n v="12.17"/>
    <n v="6.66"/>
  </r>
  <r>
    <s v="INC057"/>
    <x v="55"/>
    <x v="8"/>
    <x v="0"/>
    <x v="10"/>
    <x v="2"/>
    <x v="2"/>
    <n v="39"/>
    <n v="116143465"/>
    <n v="0"/>
    <n v="116143465"/>
    <x v="1"/>
    <x v="1"/>
    <s v="Delayed"/>
    <x v="0"/>
    <n v="9.07"/>
    <n v="7.49"/>
  </r>
  <r>
    <s v="INC058"/>
    <x v="56"/>
    <x v="9"/>
    <x v="0"/>
    <x v="4"/>
    <x v="3"/>
    <x v="6"/>
    <n v="5"/>
    <n v="82813467"/>
    <n v="0"/>
    <n v="82813467"/>
    <x v="0"/>
    <x v="0"/>
    <s v="No Response"/>
    <x v="1"/>
    <n v="10.52"/>
    <n v="7.44"/>
  </r>
  <r>
    <s v="INC059"/>
    <x v="57"/>
    <x v="5"/>
    <x v="1"/>
    <x v="9"/>
    <x v="4"/>
    <x v="6"/>
    <n v="9"/>
    <n v="93312082"/>
    <n v="0"/>
    <n v="93312082"/>
    <x v="3"/>
    <x v="2"/>
    <s v="No Response"/>
    <x v="1"/>
    <n v="6.9"/>
    <n v="3.3"/>
  </r>
  <r>
    <s v="INC060"/>
    <x v="58"/>
    <x v="11"/>
    <x v="0"/>
    <x v="11"/>
    <x v="3"/>
    <x v="3"/>
    <n v="5"/>
    <n v="0"/>
    <n v="45646850"/>
    <n v="-45646850"/>
    <x v="1"/>
    <x v="1"/>
    <s v="Delayed"/>
    <x v="1"/>
    <n v="12.17"/>
    <n v="6.66"/>
  </r>
  <r>
    <s v="INC061"/>
    <x v="59"/>
    <x v="6"/>
    <x v="0"/>
    <x v="2"/>
    <x v="2"/>
    <x v="3"/>
    <n v="4"/>
    <n v="63731531"/>
    <n v="83260677"/>
    <n v="-19529146"/>
    <x v="1"/>
    <x v="1"/>
    <s v="Quick"/>
    <x v="0"/>
    <n v="7.73"/>
    <n v="8.5399999999999991"/>
  </r>
  <r>
    <s v="INC062"/>
    <x v="60"/>
    <x v="11"/>
    <x v="0"/>
    <x v="10"/>
    <x v="2"/>
    <x v="4"/>
    <n v="14"/>
    <n v="28536684"/>
    <n v="0"/>
    <n v="28536684"/>
    <x v="2"/>
    <x v="2"/>
    <s v="Delayed"/>
    <x v="0"/>
    <n v="9.07"/>
    <n v="7.49"/>
  </r>
  <r>
    <s v="INC063"/>
    <x v="61"/>
    <x v="5"/>
    <x v="0"/>
    <x v="5"/>
    <x v="3"/>
    <x v="1"/>
    <n v="13"/>
    <n v="0"/>
    <n v="0"/>
    <n v="0"/>
    <x v="1"/>
    <x v="1"/>
    <s v="Delayed"/>
    <x v="1"/>
    <n v="12.99"/>
    <n v="7.6"/>
  </r>
  <r>
    <s v="INC064"/>
    <x v="62"/>
    <x v="3"/>
    <x v="0"/>
    <x v="6"/>
    <x v="4"/>
    <x v="2"/>
    <n v="40"/>
    <n v="0"/>
    <n v="0"/>
    <n v="0"/>
    <x v="1"/>
    <x v="1"/>
    <s v="No Response"/>
    <x v="0"/>
    <n v="7.38"/>
    <n v="3.93"/>
  </r>
  <r>
    <s v="INC065"/>
    <x v="63"/>
    <x v="3"/>
    <x v="0"/>
    <x v="7"/>
    <x v="3"/>
    <x v="5"/>
    <n v="11"/>
    <n v="0"/>
    <n v="0"/>
    <n v="0"/>
    <x v="2"/>
    <x v="2"/>
    <s v="Quick"/>
    <x v="1"/>
    <n v="12"/>
    <n v="8.52"/>
  </r>
  <r>
    <s v="INC066"/>
    <x v="64"/>
    <x v="5"/>
    <x v="1"/>
    <x v="10"/>
    <x v="2"/>
    <x v="6"/>
    <n v="6"/>
    <n v="0"/>
    <n v="0"/>
    <n v="0"/>
    <x v="2"/>
    <x v="2"/>
    <s v="Quick"/>
    <x v="1"/>
    <n v="9.07"/>
    <n v="7.49"/>
  </r>
  <r>
    <s v="INC067"/>
    <x v="44"/>
    <x v="2"/>
    <x v="1"/>
    <x v="10"/>
    <x v="2"/>
    <x v="3"/>
    <n v="16"/>
    <n v="10211622"/>
    <n v="0"/>
    <n v="10211622"/>
    <x v="3"/>
    <x v="2"/>
    <s v="Moderate"/>
    <x v="1"/>
    <n v="9.07"/>
    <n v="7.49"/>
  </r>
  <r>
    <s v="INC068"/>
    <x v="65"/>
    <x v="2"/>
    <x v="0"/>
    <x v="4"/>
    <x v="3"/>
    <x v="5"/>
    <n v="36"/>
    <n v="0"/>
    <n v="0"/>
    <n v="0"/>
    <x v="3"/>
    <x v="2"/>
    <s v="Delayed"/>
    <x v="1"/>
    <n v="10.52"/>
    <n v="7.44"/>
  </r>
  <r>
    <s v="INC069"/>
    <x v="66"/>
    <x v="8"/>
    <x v="0"/>
    <x v="6"/>
    <x v="4"/>
    <x v="6"/>
    <n v="38"/>
    <n v="60325495"/>
    <n v="0"/>
    <n v="60325495"/>
    <x v="0"/>
    <x v="0"/>
    <s v="Delayed"/>
    <x v="1"/>
    <n v="7.38"/>
    <n v="3.93"/>
  </r>
  <r>
    <s v="INC070"/>
    <x v="67"/>
    <x v="0"/>
    <x v="0"/>
    <x v="9"/>
    <x v="4"/>
    <x v="5"/>
    <n v="25"/>
    <n v="0"/>
    <n v="0"/>
    <n v="0"/>
    <x v="3"/>
    <x v="2"/>
    <s v="Delayed"/>
    <x v="1"/>
    <n v="6.9"/>
    <n v="3.3"/>
  </r>
  <r>
    <s v="INC071"/>
    <x v="68"/>
    <x v="2"/>
    <x v="1"/>
    <x v="11"/>
    <x v="3"/>
    <x v="3"/>
    <n v="3"/>
    <n v="16813928"/>
    <n v="0"/>
    <n v="16813928"/>
    <x v="2"/>
    <x v="2"/>
    <s v="No Response"/>
    <x v="0"/>
    <n v="12.17"/>
    <n v="6.66"/>
  </r>
  <r>
    <s v="INC072"/>
    <x v="69"/>
    <x v="7"/>
    <x v="0"/>
    <x v="12"/>
    <x v="4"/>
    <x v="1"/>
    <n v="12"/>
    <n v="40512888"/>
    <n v="0"/>
    <n v="40512888"/>
    <x v="1"/>
    <x v="1"/>
    <s v="Moderate"/>
    <x v="1"/>
    <n v="6.52"/>
    <n v="3.37"/>
  </r>
  <r>
    <s v="INC073"/>
    <x v="70"/>
    <x v="9"/>
    <x v="0"/>
    <x v="10"/>
    <x v="2"/>
    <x v="5"/>
    <n v="15"/>
    <n v="0"/>
    <n v="48232000"/>
    <n v="-48232000"/>
    <x v="0"/>
    <x v="0"/>
    <s v="Delayed"/>
    <x v="1"/>
    <n v="9.07"/>
    <n v="7.49"/>
  </r>
  <r>
    <s v="INC074"/>
    <x v="71"/>
    <x v="8"/>
    <x v="1"/>
    <x v="8"/>
    <x v="5"/>
    <x v="3"/>
    <n v="30"/>
    <n v="0"/>
    <n v="63541531"/>
    <n v="-63541531"/>
    <x v="1"/>
    <x v="1"/>
    <s v="Moderate"/>
    <x v="0"/>
    <n v="11.83"/>
    <n v="13.15"/>
  </r>
  <r>
    <s v="INC075"/>
    <x v="72"/>
    <x v="4"/>
    <x v="1"/>
    <x v="1"/>
    <x v="1"/>
    <x v="6"/>
    <n v="21"/>
    <n v="131784158"/>
    <n v="42881158"/>
    <n v="88903000"/>
    <x v="0"/>
    <x v="0"/>
    <s v="Quick"/>
    <x v="1"/>
    <n v="5.7"/>
    <n v="5.9"/>
  </r>
  <r>
    <s v="INC076"/>
    <x v="73"/>
    <x v="7"/>
    <x v="1"/>
    <x v="6"/>
    <x v="4"/>
    <x v="2"/>
    <n v="34"/>
    <n v="0"/>
    <n v="0"/>
    <n v="0"/>
    <x v="2"/>
    <x v="2"/>
    <s v="Moderate"/>
    <x v="1"/>
    <n v="7.38"/>
    <n v="3.93"/>
  </r>
  <r>
    <s v="INC077"/>
    <x v="26"/>
    <x v="2"/>
    <x v="1"/>
    <x v="11"/>
    <x v="3"/>
    <x v="4"/>
    <n v="28"/>
    <n v="0"/>
    <n v="80341878"/>
    <n v="-80341878"/>
    <x v="0"/>
    <x v="0"/>
    <s v="Moderate"/>
    <x v="1"/>
    <n v="12.17"/>
    <n v="6.66"/>
  </r>
  <r>
    <s v="INC078"/>
    <x v="74"/>
    <x v="9"/>
    <x v="0"/>
    <x v="12"/>
    <x v="4"/>
    <x v="6"/>
    <n v="3"/>
    <n v="28781178"/>
    <n v="61437044"/>
    <n v="-32655866"/>
    <x v="2"/>
    <x v="2"/>
    <s v="No Response"/>
    <x v="1"/>
    <n v="6.52"/>
    <n v="3.37"/>
  </r>
  <r>
    <s v="INC079"/>
    <x v="75"/>
    <x v="6"/>
    <x v="0"/>
    <x v="11"/>
    <x v="3"/>
    <x v="0"/>
    <n v="14"/>
    <n v="126735328"/>
    <n v="54755163"/>
    <n v="71980165"/>
    <x v="1"/>
    <x v="1"/>
    <s v="No Response"/>
    <x v="1"/>
    <n v="12.17"/>
    <n v="6.66"/>
  </r>
  <r>
    <s v="INC080"/>
    <x v="52"/>
    <x v="4"/>
    <x v="1"/>
    <x v="6"/>
    <x v="4"/>
    <x v="4"/>
    <n v="15"/>
    <n v="15299847"/>
    <n v="0"/>
    <n v="15299847"/>
    <x v="2"/>
    <x v="2"/>
    <s v="Quick"/>
    <x v="1"/>
    <n v="7.38"/>
    <n v="3.93"/>
  </r>
  <r>
    <s v="INC081"/>
    <x v="76"/>
    <x v="0"/>
    <x v="0"/>
    <x v="6"/>
    <x v="4"/>
    <x v="0"/>
    <n v="2"/>
    <n v="25737036"/>
    <n v="0"/>
    <n v="25737036"/>
    <x v="3"/>
    <x v="2"/>
    <s v="No Response"/>
    <x v="1"/>
    <n v="7.38"/>
    <n v="3.93"/>
  </r>
  <r>
    <s v="INC082"/>
    <x v="77"/>
    <x v="6"/>
    <x v="0"/>
    <x v="10"/>
    <x v="2"/>
    <x v="0"/>
    <n v="21"/>
    <n v="62106266"/>
    <n v="0"/>
    <n v="62106266"/>
    <x v="3"/>
    <x v="2"/>
    <s v="Delayed"/>
    <x v="0"/>
    <n v="9.07"/>
    <n v="7.49"/>
  </r>
  <r>
    <s v="INC083"/>
    <x v="2"/>
    <x v="2"/>
    <x v="1"/>
    <x v="8"/>
    <x v="5"/>
    <x v="0"/>
    <n v="37"/>
    <n v="139769413"/>
    <n v="0"/>
    <n v="139769413"/>
    <x v="0"/>
    <x v="0"/>
    <s v="Moderate"/>
    <x v="1"/>
    <n v="11.83"/>
    <n v="13.15"/>
  </r>
  <r>
    <s v="INC084"/>
    <x v="78"/>
    <x v="5"/>
    <x v="1"/>
    <x v="1"/>
    <x v="1"/>
    <x v="0"/>
    <n v="36"/>
    <n v="0"/>
    <n v="0"/>
    <n v="0"/>
    <x v="1"/>
    <x v="1"/>
    <s v="Quick"/>
    <x v="1"/>
    <n v="5.7"/>
    <n v="5.9"/>
  </r>
  <r>
    <s v="INC085"/>
    <x v="79"/>
    <x v="6"/>
    <x v="0"/>
    <x v="2"/>
    <x v="2"/>
    <x v="6"/>
    <n v="10"/>
    <n v="117913959"/>
    <n v="0"/>
    <n v="117913959"/>
    <x v="2"/>
    <x v="2"/>
    <s v="No Response"/>
    <x v="0"/>
    <n v="7.73"/>
    <n v="8.5399999999999991"/>
  </r>
  <r>
    <s v="INC086"/>
    <x v="80"/>
    <x v="11"/>
    <x v="0"/>
    <x v="12"/>
    <x v="4"/>
    <x v="2"/>
    <n v="5"/>
    <n v="74367148"/>
    <n v="0"/>
    <n v="74367148"/>
    <x v="3"/>
    <x v="2"/>
    <s v="No Response"/>
    <x v="1"/>
    <n v="6.52"/>
    <n v="3.37"/>
  </r>
  <r>
    <s v="INC087"/>
    <x v="81"/>
    <x v="5"/>
    <x v="0"/>
    <x v="0"/>
    <x v="0"/>
    <x v="1"/>
    <n v="8"/>
    <n v="0"/>
    <n v="0"/>
    <n v="0"/>
    <x v="3"/>
    <x v="2"/>
    <s v="Moderate"/>
    <x v="1"/>
    <n v="6.21"/>
    <n v="7.07"/>
  </r>
  <r>
    <s v="INC088"/>
    <x v="82"/>
    <x v="4"/>
    <x v="1"/>
    <x v="4"/>
    <x v="3"/>
    <x v="1"/>
    <n v="25"/>
    <n v="67285582"/>
    <n v="0"/>
    <n v="67285582"/>
    <x v="1"/>
    <x v="1"/>
    <s v="Quick"/>
    <x v="1"/>
    <n v="10.52"/>
    <n v="7.44"/>
  </r>
  <r>
    <s v="INC089"/>
    <x v="83"/>
    <x v="2"/>
    <x v="0"/>
    <x v="6"/>
    <x v="4"/>
    <x v="4"/>
    <n v="34"/>
    <n v="23596044"/>
    <n v="35603639"/>
    <n v="-12007595"/>
    <x v="3"/>
    <x v="2"/>
    <s v="No Response"/>
    <x v="1"/>
    <n v="7.38"/>
    <n v="3.93"/>
  </r>
  <r>
    <s v="INC090"/>
    <x v="84"/>
    <x v="9"/>
    <x v="0"/>
    <x v="7"/>
    <x v="3"/>
    <x v="2"/>
    <n v="29"/>
    <n v="144267164"/>
    <n v="0"/>
    <n v="144267164"/>
    <x v="2"/>
    <x v="2"/>
    <s v="No Response"/>
    <x v="1"/>
    <n v="12"/>
    <n v="8.52"/>
  </r>
  <r>
    <s v="INC091"/>
    <x v="25"/>
    <x v="2"/>
    <x v="0"/>
    <x v="4"/>
    <x v="3"/>
    <x v="6"/>
    <n v="18"/>
    <n v="0"/>
    <n v="0"/>
    <n v="0"/>
    <x v="0"/>
    <x v="0"/>
    <s v="No Response"/>
    <x v="1"/>
    <n v="10.52"/>
    <n v="7.44"/>
  </r>
  <r>
    <s v="INC092"/>
    <x v="85"/>
    <x v="7"/>
    <x v="0"/>
    <x v="1"/>
    <x v="1"/>
    <x v="4"/>
    <n v="8"/>
    <n v="0"/>
    <n v="0"/>
    <n v="0"/>
    <x v="2"/>
    <x v="2"/>
    <s v="Quick"/>
    <x v="1"/>
    <n v="5.7"/>
    <n v="5.9"/>
  </r>
  <r>
    <s v="INC093"/>
    <x v="86"/>
    <x v="4"/>
    <x v="1"/>
    <x v="3"/>
    <x v="1"/>
    <x v="1"/>
    <n v="13"/>
    <n v="58701544"/>
    <n v="0"/>
    <n v="58701544"/>
    <x v="2"/>
    <x v="2"/>
    <s v="Delayed"/>
    <x v="1"/>
    <n v="4.75"/>
    <n v="7.01"/>
  </r>
  <r>
    <s v="INC094"/>
    <x v="87"/>
    <x v="8"/>
    <x v="0"/>
    <x v="4"/>
    <x v="3"/>
    <x v="0"/>
    <n v="8"/>
    <n v="21908344"/>
    <n v="0"/>
    <n v="21908344"/>
    <x v="1"/>
    <x v="1"/>
    <s v="Quick"/>
    <x v="1"/>
    <n v="10.52"/>
    <n v="7.44"/>
  </r>
  <r>
    <s v="INC095"/>
    <x v="88"/>
    <x v="5"/>
    <x v="0"/>
    <x v="11"/>
    <x v="3"/>
    <x v="6"/>
    <n v="13"/>
    <n v="0"/>
    <n v="0"/>
    <n v="0"/>
    <x v="2"/>
    <x v="2"/>
    <s v="Moderate"/>
    <x v="1"/>
    <n v="12.17"/>
    <n v="6.66"/>
  </r>
  <r>
    <s v="INC096"/>
    <x v="89"/>
    <x v="8"/>
    <x v="0"/>
    <x v="7"/>
    <x v="3"/>
    <x v="1"/>
    <n v="35"/>
    <n v="48810656"/>
    <n v="0"/>
    <n v="48810656"/>
    <x v="1"/>
    <x v="1"/>
    <s v="Moderate"/>
    <x v="0"/>
    <n v="12"/>
    <n v="8.52"/>
  </r>
  <r>
    <s v="INC097"/>
    <x v="90"/>
    <x v="8"/>
    <x v="1"/>
    <x v="5"/>
    <x v="3"/>
    <x v="1"/>
    <n v="25"/>
    <n v="0"/>
    <n v="63345210"/>
    <n v="-63345210"/>
    <x v="2"/>
    <x v="2"/>
    <s v="Delayed"/>
    <x v="0"/>
    <n v="12.99"/>
    <n v="7.6"/>
  </r>
  <r>
    <s v="INC098"/>
    <x v="91"/>
    <x v="11"/>
    <x v="0"/>
    <x v="8"/>
    <x v="5"/>
    <x v="3"/>
    <n v="20"/>
    <n v="120865066"/>
    <n v="0"/>
    <n v="120865066"/>
    <x v="0"/>
    <x v="0"/>
    <s v="No Response"/>
    <x v="1"/>
    <n v="11.83"/>
    <n v="13.15"/>
  </r>
  <r>
    <s v="INC099"/>
    <x v="92"/>
    <x v="6"/>
    <x v="0"/>
    <x v="10"/>
    <x v="2"/>
    <x v="0"/>
    <n v="15"/>
    <n v="0"/>
    <n v="0"/>
    <n v="0"/>
    <x v="1"/>
    <x v="1"/>
    <s v="Delayed"/>
    <x v="1"/>
    <n v="9.07"/>
    <n v="7.49"/>
  </r>
  <r>
    <s v="INC100"/>
    <x v="93"/>
    <x v="1"/>
    <x v="0"/>
    <x v="4"/>
    <x v="3"/>
    <x v="1"/>
    <n v="22"/>
    <n v="62432721"/>
    <n v="0"/>
    <n v="62432721"/>
    <x v="3"/>
    <x v="2"/>
    <s v="No Response"/>
    <x v="1"/>
    <n v="10.52"/>
    <n v="7.44"/>
  </r>
  <r>
    <s v="INC101"/>
    <x v="94"/>
    <x v="1"/>
    <x v="0"/>
    <x v="10"/>
    <x v="2"/>
    <x v="4"/>
    <n v="29"/>
    <n v="0"/>
    <n v="0"/>
    <n v="0"/>
    <x v="1"/>
    <x v="1"/>
    <s v="No Response"/>
    <x v="1"/>
    <n v="9.07"/>
    <n v="7.49"/>
  </r>
  <r>
    <s v="INC102"/>
    <x v="95"/>
    <x v="0"/>
    <x v="0"/>
    <x v="8"/>
    <x v="5"/>
    <x v="3"/>
    <n v="37"/>
    <n v="0"/>
    <n v="0"/>
    <n v="0"/>
    <x v="0"/>
    <x v="0"/>
    <s v="Moderate"/>
    <x v="0"/>
    <n v="11.83"/>
    <n v="13.15"/>
  </r>
  <r>
    <s v="INC103"/>
    <x v="96"/>
    <x v="3"/>
    <x v="0"/>
    <x v="10"/>
    <x v="2"/>
    <x v="5"/>
    <n v="6"/>
    <n v="134018162"/>
    <n v="26197061"/>
    <n v="107821101"/>
    <x v="2"/>
    <x v="2"/>
    <s v="Delayed"/>
    <x v="1"/>
    <n v="9.07"/>
    <n v="7.49"/>
  </r>
  <r>
    <s v="INC104"/>
    <x v="97"/>
    <x v="4"/>
    <x v="1"/>
    <x v="2"/>
    <x v="2"/>
    <x v="1"/>
    <n v="18"/>
    <n v="0"/>
    <n v="23103392"/>
    <n v="-23103392"/>
    <x v="0"/>
    <x v="0"/>
    <s v="Delayed"/>
    <x v="0"/>
    <n v="7.73"/>
    <n v="8.5399999999999991"/>
  </r>
  <r>
    <s v="INC105"/>
    <x v="98"/>
    <x v="4"/>
    <x v="0"/>
    <x v="0"/>
    <x v="0"/>
    <x v="1"/>
    <n v="29"/>
    <n v="0"/>
    <n v="11634434"/>
    <n v="-11634434"/>
    <x v="1"/>
    <x v="1"/>
    <s v="Delayed"/>
    <x v="1"/>
    <n v="6.21"/>
    <n v="7.07"/>
  </r>
  <r>
    <s v="INC106"/>
    <x v="99"/>
    <x v="2"/>
    <x v="1"/>
    <x v="4"/>
    <x v="3"/>
    <x v="5"/>
    <n v="17"/>
    <n v="110020654"/>
    <n v="0"/>
    <n v="110020654"/>
    <x v="0"/>
    <x v="0"/>
    <s v="Quick"/>
    <x v="1"/>
    <n v="10.52"/>
    <n v="7.44"/>
  </r>
  <r>
    <s v="INC107"/>
    <x v="100"/>
    <x v="4"/>
    <x v="0"/>
    <x v="5"/>
    <x v="3"/>
    <x v="0"/>
    <n v="1"/>
    <n v="145428854"/>
    <n v="77032177"/>
    <n v="68396677"/>
    <x v="2"/>
    <x v="2"/>
    <s v="Delayed"/>
    <x v="1"/>
    <n v="12.99"/>
    <n v="7.6"/>
  </r>
  <r>
    <s v="INC108"/>
    <x v="100"/>
    <x v="4"/>
    <x v="0"/>
    <x v="6"/>
    <x v="4"/>
    <x v="5"/>
    <n v="15"/>
    <n v="8433053"/>
    <n v="0"/>
    <n v="8433053"/>
    <x v="2"/>
    <x v="2"/>
    <s v="Quick"/>
    <x v="1"/>
    <n v="7.38"/>
    <n v="3.93"/>
  </r>
  <r>
    <s v="INC109"/>
    <x v="101"/>
    <x v="7"/>
    <x v="0"/>
    <x v="4"/>
    <x v="3"/>
    <x v="4"/>
    <n v="28"/>
    <n v="63792800"/>
    <n v="0"/>
    <n v="63792800"/>
    <x v="3"/>
    <x v="2"/>
    <s v="Moderate"/>
    <x v="1"/>
    <n v="10.52"/>
    <n v="7.44"/>
  </r>
  <r>
    <s v="INC110"/>
    <x v="102"/>
    <x v="9"/>
    <x v="0"/>
    <x v="7"/>
    <x v="3"/>
    <x v="5"/>
    <n v="21"/>
    <n v="0"/>
    <n v="0"/>
    <n v="0"/>
    <x v="1"/>
    <x v="1"/>
    <s v="Delayed"/>
    <x v="1"/>
    <n v="12"/>
    <n v="8.52"/>
  </r>
  <r>
    <s v="INC111"/>
    <x v="103"/>
    <x v="2"/>
    <x v="0"/>
    <x v="10"/>
    <x v="2"/>
    <x v="2"/>
    <n v="36"/>
    <n v="0"/>
    <n v="0"/>
    <n v="0"/>
    <x v="0"/>
    <x v="0"/>
    <s v="Moderate"/>
    <x v="0"/>
    <n v="9.07"/>
    <n v="7.49"/>
  </r>
  <r>
    <s v="INC112"/>
    <x v="61"/>
    <x v="5"/>
    <x v="0"/>
    <x v="2"/>
    <x v="2"/>
    <x v="2"/>
    <n v="39"/>
    <n v="0"/>
    <n v="43570500"/>
    <n v="-43570500"/>
    <x v="0"/>
    <x v="0"/>
    <s v="Delayed"/>
    <x v="1"/>
    <n v="7.73"/>
    <n v="8.5399999999999991"/>
  </r>
  <r>
    <s v="INC113"/>
    <x v="104"/>
    <x v="11"/>
    <x v="0"/>
    <x v="10"/>
    <x v="2"/>
    <x v="0"/>
    <n v="10"/>
    <n v="73972960"/>
    <n v="98681187"/>
    <n v="-24708227"/>
    <x v="0"/>
    <x v="0"/>
    <s v="Moderate"/>
    <x v="1"/>
    <n v="9.07"/>
    <n v="7.49"/>
  </r>
  <r>
    <s v="INC114"/>
    <x v="105"/>
    <x v="5"/>
    <x v="1"/>
    <x v="2"/>
    <x v="2"/>
    <x v="6"/>
    <n v="38"/>
    <n v="0"/>
    <n v="0"/>
    <n v="0"/>
    <x v="1"/>
    <x v="1"/>
    <s v="Quick"/>
    <x v="1"/>
    <n v="7.73"/>
    <n v="8.5399999999999991"/>
  </r>
  <r>
    <s v="INC115"/>
    <x v="106"/>
    <x v="8"/>
    <x v="0"/>
    <x v="4"/>
    <x v="3"/>
    <x v="4"/>
    <n v="33"/>
    <n v="0"/>
    <n v="0"/>
    <n v="0"/>
    <x v="2"/>
    <x v="2"/>
    <s v="Delayed"/>
    <x v="1"/>
    <n v="10.52"/>
    <n v="7.44"/>
  </r>
  <r>
    <s v="INC116"/>
    <x v="107"/>
    <x v="2"/>
    <x v="0"/>
    <x v="4"/>
    <x v="3"/>
    <x v="6"/>
    <n v="20"/>
    <n v="0"/>
    <n v="0"/>
    <n v="0"/>
    <x v="0"/>
    <x v="0"/>
    <s v="Delayed"/>
    <x v="1"/>
    <n v="10.52"/>
    <n v="7.44"/>
  </r>
  <r>
    <s v="INC117"/>
    <x v="108"/>
    <x v="0"/>
    <x v="0"/>
    <x v="9"/>
    <x v="4"/>
    <x v="1"/>
    <n v="32"/>
    <n v="0"/>
    <n v="0"/>
    <n v="0"/>
    <x v="3"/>
    <x v="2"/>
    <s v="Delayed"/>
    <x v="0"/>
    <n v="6.9"/>
    <n v="3.3"/>
  </r>
  <r>
    <s v="INC118"/>
    <x v="109"/>
    <x v="10"/>
    <x v="0"/>
    <x v="4"/>
    <x v="3"/>
    <x v="0"/>
    <n v="33"/>
    <n v="20289536"/>
    <n v="0"/>
    <n v="20289536"/>
    <x v="1"/>
    <x v="1"/>
    <s v="Moderate"/>
    <x v="0"/>
    <n v="10.52"/>
    <n v="7.44"/>
  </r>
  <r>
    <s v="INC119"/>
    <x v="106"/>
    <x v="8"/>
    <x v="0"/>
    <x v="6"/>
    <x v="4"/>
    <x v="4"/>
    <n v="9"/>
    <n v="45989170"/>
    <n v="0"/>
    <n v="45989170"/>
    <x v="0"/>
    <x v="0"/>
    <s v="Moderate"/>
    <x v="1"/>
    <n v="7.38"/>
    <n v="3.93"/>
  </r>
  <r>
    <s v="INC120"/>
    <x v="110"/>
    <x v="7"/>
    <x v="0"/>
    <x v="0"/>
    <x v="0"/>
    <x v="5"/>
    <n v="39"/>
    <n v="0"/>
    <n v="0"/>
    <n v="0"/>
    <x v="1"/>
    <x v="1"/>
    <s v="Delayed"/>
    <x v="1"/>
    <n v="6.21"/>
    <n v="7.07"/>
  </r>
  <r>
    <s v="INC121"/>
    <x v="83"/>
    <x v="2"/>
    <x v="0"/>
    <x v="4"/>
    <x v="3"/>
    <x v="1"/>
    <n v="19"/>
    <n v="32858196"/>
    <n v="0"/>
    <n v="32858196"/>
    <x v="3"/>
    <x v="2"/>
    <s v="Delayed"/>
    <x v="0"/>
    <n v="10.52"/>
    <n v="7.44"/>
  </r>
  <r>
    <s v="INC122"/>
    <x v="6"/>
    <x v="6"/>
    <x v="0"/>
    <x v="2"/>
    <x v="2"/>
    <x v="2"/>
    <n v="35"/>
    <n v="100723312"/>
    <n v="24145666"/>
    <n v="76577646"/>
    <x v="2"/>
    <x v="2"/>
    <s v="Quick"/>
    <x v="1"/>
    <n v="7.73"/>
    <n v="8.5399999999999991"/>
  </r>
  <r>
    <s v="INC123"/>
    <x v="111"/>
    <x v="7"/>
    <x v="1"/>
    <x v="1"/>
    <x v="1"/>
    <x v="5"/>
    <n v="36"/>
    <n v="0"/>
    <n v="0"/>
    <n v="0"/>
    <x v="1"/>
    <x v="1"/>
    <s v="No Response"/>
    <x v="1"/>
    <n v="5.7"/>
    <n v="5.9"/>
  </r>
  <r>
    <s v="INC124"/>
    <x v="56"/>
    <x v="9"/>
    <x v="0"/>
    <x v="6"/>
    <x v="4"/>
    <x v="2"/>
    <n v="4"/>
    <n v="56211871"/>
    <n v="0"/>
    <n v="56211871"/>
    <x v="1"/>
    <x v="1"/>
    <s v="Moderate"/>
    <x v="0"/>
    <n v="7.38"/>
    <n v="3.93"/>
  </r>
  <r>
    <s v="INC125"/>
    <x v="112"/>
    <x v="5"/>
    <x v="1"/>
    <x v="10"/>
    <x v="2"/>
    <x v="6"/>
    <n v="27"/>
    <n v="128201908"/>
    <n v="48849357"/>
    <n v="79352551"/>
    <x v="3"/>
    <x v="2"/>
    <s v="Quick"/>
    <x v="1"/>
    <n v="9.07"/>
    <n v="7.49"/>
  </r>
  <r>
    <s v="INC126"/>
    <x v="113"/>
    <x v="4"/>
    <x v="1"/>
    <x v="3"/>
    <x v="1"/>
    <x v="6"/>
    <n v="13"/>
    <n v="0"/>
    <n v="0"/>
    <n v="0"/>
    <x v="0"/>
    <x v="0"/>
    <s v="Quick"/>
    <x v="1"/>
    <n v="4.75"/>
    <n v="7.01"/>
  </r>
  <r>
    <s v="INC127"/>
    <x v="114"/>
    <x v="8"/>
    <x v="0"/>
    <x v="4"/>
    <x v="3"/>
    <x v="1"/>
    <n v="5"/>
    <n v="110082112"/>
    <n v="0"/>
    <n v="110082112"/>
    <x v="1"/>
    <x v="1"/>
    <s v="Delayed"/>
    <x v="0"/>
    <n v="10.52"/>
    <n v="7.44"/>
  </r>
  <r>
    <s v="INC128"/>
    <x v="115"/>
    <x v="8"/>
    <x v="0"/>
    <x v="12"/>
    <x v="4"/>
    <x v="4"/>
    <n v="13"/>
    <n v="0"/>
    <n v="0"/>
    <n v="0"/>
    <x v="0"/>
    <x v="0"/>
    <s v="Quick"/>
    <x v="1"/>
    <n v="6.52"/>
    <n v="3.37"/>
  </r>
  <r>
    <s v="INC129"/>
    <x v="116"/>
    <x v="8"/>
    <x v="1"/>
    <x v="10"/>
    <x v="2"/>
    <x v="2"/>
    <n v="20"/>
    <n v="0"/>
    <n v="0"/>
    <n v="0"/>
    <x v="3"/>
    <x v="2"/>
    <s v="Delayed"/>
    <x v="1"/>
    <n v="9.07"/>
    <n v="7.49"/>
  </r>
  <r>
    <s v="INC130"/>
    <x v="117"/>
    <x v="0"/>
    <x v="0"/>
    <x v="11"/>
    <x v="3"/>
    <x v="5"/>
    <n v="8"/>
    <n v="70516565"/>
    <n v="0"/>
    <n v="70516565"/>
    <x v="2"/>
    <x v="2"/>
    <s v="Moderate"/>
    <x v="1"/>
    <n v="12.17"/>
    <n v="6.66"/>
  </r>
  <r>
    <s v="INC131"/>
    <x v="118"/>
    <x v="3"/>
    <x v="0"/>
    <x v="11"/>
    <x v="3"/>
    <x v="1"/>
    <n v="7"/>
    <n v="148818146"/>
    <n v="44775288"/>
    <n v="104042858"/>
    <x v="2"/>
    <x v="2"/>
    <s v="Moderate"/>
    <x v="1"/>
    <n v="12.17"/>
    <n v="6.66"/>
  </r>
  <r>
    <s v="INC132"/>
    <x v="119"/>
    <x v="7"/>
    <x v="1"/>
    <x v="5"/>
    <x v="3"/>
    <x v="4"/>
    <n v="22"/>
    <n v="0"/>
    <n v="0"/>
    <n v="0"/>
    <x v="3"/>
    <x v="2"/>
    <s v="No Response"/>
    <x v="1"/>
    <n v="12.99"/>
    <n v="7.6"/>
  </r>
  <r>
    <s v="INC133"/>
    <x v="120"/>
    <x v="11"/>
    <x v="0"/>
    <x v="1"/>
    <x v="1"/>
    <x v="6"/>
    <n v="10"/>
    <n v="97391317"/>
    <n v="0"/>
    <n v="97391317"/>
    <x v="2"/>
    <x v="2"/>
    <s v="Delayed"/>
    <x v="1"/>
    <n v="5.7"/>
    <n v="5.9"/>
  </r>
  <r>
    <s v="INC134"/>
    <x v="82"/>
    <x v="4"/>
    <x v="1"/>
    <x v="2"/>
    <x v="2"/>
    <x v="2"/>
    <n v="27"/>
    <n v="124113375"/>
    <n v="0"/>
    <n v="124113375"/>
    <x v="1"/>
    <x v="1"/>
    <s v="Delayed"/>
    <x v="0"/>
    <n v="7.73"/>
    <n v="8.5399999999999991"/>
  </r>
  <r>
    <s v="INC135"/>
    <x v="121"/>
    <x v="4"/>
    <x v="0"/>
    <x v="11"/>
    <x v="3"/>
    <x v="6"/>
    <n v="12"/>
    <n v="0"/>
    <n v="0"/>
    <n v="0"/>
    <x v="0"/>
    <x v="0"/>
    <s v="Moderate"/>
    <x v="0"/>
    <n v="12.17"/>
    <n v="6.66"/>
  </r>
  <r>
    <s v="INC136"/>
    <x v="122"/>
    <x v="5"/>
    <x v="1"/>
    <x v="6"/>
    <x v="4"/>
    <x v="2"/>
    <n v="34"/>
    <n v="0"/>
    <n v="74295517"/>
    <n v="-74295517"/>
    <x v="3"/>
    <x v="2"/>
    <s v="Moderate"/>
    <x v="0"/>
    <n v="7.38"/>
    <n v="3.93"/>
  </r>
  <r>
    <s v="INC137"/>
    <x v="123"/>
    <x v="5"/>
    <x v="1"/>
    <x v="12"/>
    <x v="4"/>
    <x v="2"/>
    <n v="25"/>
    <n v="11180373"/>
    <n v="73348632"/>
    <n v="-62168259"/>
    <x v="3"/>
    <x v="2"/>
    <s v="No Response"/>
    <x v="1"/>
    <n v="6.52"/>
    <n v="3.37"/>
  </r>
  <r>
    <s v="INC138"/>
    <x v="124"/>
    <x v="9"/>
    <x v="0"/>
    <x v="8"/>
    <x v="5"/>
    <x v="2"/>
    <n v="15"/>
    <n v="19511737"/>
    <n v="0"/>
    <n v="19511737"/>
    <x v="3"/>
    <x v="2"/>
    <s v="Moderate"/>
    <x v="1"/>
    <n v="11.83"/>
    <n v="13.15"/>
  </r>
  <r>
    <s v="INC139"/>
    <x v="125"/>
    <x v="2"/>
    <x v="0"/>
    <x v="0"/>
    <x v="0"/>
    <x v="2"/>
    <n v="39"/>
    <n v="0"/>
    <n v="0"/>
    <n v="0"/>
    <x v="0"/>
    <x v="0"/>
    <s v="Delayed"/>
    <x v="1"/>
    <n v="6.21"/>
    <n v="7.07"/>
  </r>
  <r>
    <s v="INC140"/>
    <x v="126"/>
    <x v="10"/>
    <x v="0"/>
    <x v="5"/>
    <x v="3"/>
    <x v="1"/>
    <n v="26"/>
    <n v="0"/>
    <n v="0"/>
    <n v="0"/>
    <x v="3"/>
    <x v="2"/>
    <s v="Moderate"/>
    <x v="1"/>
    <n v="12.99"/>
    <n v="7.6"/>
  </r>
  <r>
    <s v="INC141"/>
    <x v="127"/>
    <x v="5"/>
    <x v="0"/>
    <x v="9"/>
    <x v="4"/>
    <x v="5"/>
    <n v="24"/>
    <n v="0"/>
    <n v="0"/>
    <n v="0"/>
    <x v="1"/>
    <x v="1"/>
    <s v="Quick"/>
    <x v="0"/>
    <n v="6.9"/>
    <n v="3.3"/>
  </r>
  <r>
    <s v="INC142"/>
    <x v="18"/>
    <x v="6"/>
    <x v="0"/>
    <x v="8"/>
    <x v="5"/>
    <x v="6"/>
    <n v="4"/>
    <n v="0"/>
    <n v="0"/>
    <n v="0"/>
    <x v="3"/>
    <x v="2"/>
    <s v="No Response"/>
    <x v="0"/>
    <n v="11.83"/>
    <n v="13.15"/>
  </r>
  <r>
    <s v="INC143"/>
    <x v="32"/>
    <x v="11"/>
    <x v="0"/>
    <x v="8"/>
    <x v="5"/>
    <x v="3"/>
    <n v="9"/>
    <n v="29840029"/>
    <n v="0"/>
    <n v="29840029"/>
    <x v="1"/>
    <x v="1"/>
    <s v="Quick"/>
    <x v="1"/>
    <n v="11.83"/>
    <n v="13.15"/>
  </r>
  <r>
    <s v="INC144"/>
    <x v="128"/>
    <x v="10"/>
    <x v="0"/>
    <x v="7"/>
    <x v="3"/>
    <x v="0"/>
    <n v="4"/>
    <n v="109926171"/>
    <n v="0"/>
    <n v="109926171"/>
    <x v="2"/>
    <x v="2"/>
    <s v="Delayed"/>
    <x v="0"/>
    <n v="12"/>
    <n v="8.52"/>
  </r>
  <r>
    <s v="INC145"/>
    <x v="129"/>
    <x v="5"/>
    <x v="0"/>
    <x v="0"/>
    <x v="0"/>
    <x v="4"/>
    <n v="25"/>
    <n v="0"/>
    <n v="0"/>
    <n v="0"/>
    <x v="0"/>
    <x v="0"/>
    <s v="Moderate"/>
    <x v="0"/>
    <n v="6.21"/>
    <n v="7.07"/>
  </r>
  <r>
    <s v="INC146"/>
    <x v="130"/>
    <x v="2"/>
    <x v="1"/>
    <x v="10"/>
    <x v="2"/>
    <x v="2"/>
    <n v="39"/>
    <n v="0"/>
    <n v="0"/>
    <n v="0"/>
    <x v="2"/>
    <x v="2"/>
    <s v="Delayed"/>
    <x v="1"/>
    <n v="9.07"/>
    <n v="7.49"/>
  </r>
  <r>
    <s v="INC147"/>
    <x v="131"/>
    <x v="2"/>
    <x v="0"/>
    <x v="7"/>
    <x v="3"/>
    <x v="1"/>
    <n v="30"/>
    <n v="0"/>
    <n v="0"/>
    <n v="0"/>
    <x v="1"/>
    <x v="1"/>
    <s v="Moderate"/>
    <x v="1"/>
    <n v="12"/>
    <n v="8.52"/>
  </r>
  <r>
    <s v="INC148"/>
    <x v="100"/>
    <x v="4"/>
    <x v="0"/>
    <x v="9"/>
    <x v="4"/>
    <x v="5"/>
    <n v="18"/>
    <n v="0"/>
    <n v="0"/>
    <n v="0"/>
    <x v="0"/>
    <x v="0"/>
    <s v="Moderate"/>
    <x v="1"/>
    <n v="6.9"/>
    <n v="3.3"/>
  </r>
  <r>
    <s v="INC149"/>
    <x v="132"/>
    <x v="8"/>
    <x v="0"/>
    <x v="5"/>
    <x v="3"/>
    <x v="5"/>
    <n v="9"/>
    <n v="0"/>
    <n v="0"/>
    <n v="0"/>
    <x v="3"/>
    <x v="2"/>
    <s v="No Response"/>
    <x v="0"/>
    <n v="12.99"/>
    <n v="7.6"/>
  </r>
  <r>
    <s v="INC150"/>
    <x v="133"/>
    <x v="10"/>
    <x v="0"/>
    <x v="0"/>
    <x v="0"/>
    <x v="0"/>
    <n v="11"/>
    <n v="127238751"/>
    <n v="0"/>
    <n v="127238751"/>
    <x v="1"/>
    <x v="1"/>
    <s v="No Response"/>
    <x v="1"/>
    <n v="6.21"/>
    <n v="7.07"/>
  </r>
  <r>
    <s v="INC151"/>
    <x v="134"/>
    <x v="0"/>
    <x v="0"/>
    <x v="11"/>
    <x v="3"/>
    <x v="2"/>
    <n v="13"/>
    <n v="0"/>
    <n v="0"/>
    <n v="0"/>
    <x v="2"/>
    <x v="2"/>
    <s v="Delayed"/>
    <x v="0"/>
    <n v="12.17"/>
    <n v="6.66"/>
  </r>
  <r>
    <s v="INC152"/>
    <x v="62"/>
    <x v="3"/>
    <x v="0"/>
    <x v="11"/>
    <x v="3"/>
    <x v="2"/>
    <n v="14"/>
    <n v="0"/>
    <n v="30285729"/>
    <n v="-30285729"/>
    <x v="3"/>
    <x v="2"/>
    <s v="Moderate"/>
    <x v="0"/>
    <n v="12.17"/>
    <n v="6.66"/>
  </r>
  <r>
    <s v="INC153"/>
    <x v="135"/>
    <x v="11"/>
    <x v="0"/>
    <x v="4"/>
    <x v="3"/>
    <x v="2"/>
    <n v="23"/>
    <n v="130909567"/>
    <n v="0"/>
    <n v="130909567"/>
    <x v="3"/>
    <x v="2"/>
    <s v="Quick"/>
    <x v="1"/>
    <n v="10.52"/>
    <n v="7.44"/>
  </r>
  <r>
    <s v="INC154"/>
    <x v="136"/>
    <x v="10"/>
    <x v="0"/>
    <x v="3"/>
    <x v="1"/>
    <x v="4"/>
    <n v="33"/>
    <n v="44851880"/>
    <n v="0"/>
    <n v="44851880"/>
    <x v="3"/>
    <x v="2"/>
    <s v="No Response"/>
    <x v="0"/>
    <n v="4.75"/>
    <n v="7.01"/>
  </r>
  <r>
    <s v="INC155"/>
    <x v="83"/>
    <x v="2"/>
    <x v="0"/>
    <x v="3"/>
    <x v="1"/>
    <x v="5"/>
    <n v="25"/>
    <n v="0"/>
    <n v="0"/>
    <n v="0"/>
    <x v="3"/>
    <x v="2"/>
    <s v="Moderate"/>
    <x v="1"/>
    <n v="4.75"/>
    <n v="7.01"/>
  </r>
  <r>
    <s v="INC156"/>
    <x v="137"/>
    <x v="3"/>
    <x v="0"/>
    <x v="11"/>
    <x v="3"/>
    <x v="1"/>
    <n v="31"/>
    <n v="120324844"/>
    <n v="0"/>
    <n v="120324844"/>
    <x v="1"/>
    <x v="1"/>
    <s v="No Response"/>
    <x v="0"/>
    <n v="12.17"/>
    <n v="6.66"/>
  </r>
  <r>
    <s v="INC157"/>
    <x v="138"/>
    <x v="4"/>
    <x v="1"/>
    <x v="6"/>
    <x v="4"/>
    <x v="5"/>
    <n v="10"/>
    <n v="76795835"/>
    <n v="0"/>
    <n v="76795835"/>
    <x v="1"/>
    <x v="1"/>
    <s v="Moderate"/>
    <x v="0"/>
    <n v="7.38"/>
    <n v="3.93"/>
  </r>
  <r>
    <s v="INC158"/>
    <x v="139"/>
    <x v="1"/>
    <x v="0"/>
    <x v="4"/>
    <x v="3"/>
    <x v="1"/>
    <n v="24"/>
    <n v="80203486"/>
    <n v="0"/>
    <n v="80203486"/>
    <x v="0"/>
    <x v="0"/>
    <s v="Moderate"/>
    <x v="0"/>
    <n v="10.52"/>
    <n v="7.44"/>
  </r>
  <r>
    <s v="INC159"/>
    <x v="140"/>
    <x v="7"/>
    <x v="1"/>
    <x v="9"/>
    <x v="4"/>
    <x v="0"/>
    <n v="2"/>
    <n v="65043174"/>
    <n v="0"/>
    <n v="65043174"/>
    <x v="1"/>
    <x v="1"/>
    <s v="Quick"/>
    <x v="1"/>
    <n v="6.9"/>
    <n v="3.3"/>
  </r>
  <r>
    <s v="INC160"/>
    <x v="141"/>
    <x v="8"/>
    <x v="0"/>
    <x v="4"/>
    <x v="3"/>
    <x v="6"/>
    <n v="19"/>
    <n v="0"/>
    <n v="0"/>
    <n v="0"/>
    <x v="0"/>
    <x v="0"/>
    <s v="Moderate"/>
    <x v="1"/>
    <n v="10.52"/>
    <n v="7.44"/>
  </r>
  <r>
    <s v="INC161"/>
    <x v="142"/>
    <x v="2"/>
    <x v="0"/>
    <x v="1"/>
    <x v="1"/>
    <x v="0"/>
    <n v="29"/>
    <n v="0"/>
    <n v="49108899"/>
    <n v="-49108899"/>
    <x v="0"/>
    <x v="0"/>
    <s v="Delayed"/>
    <x v="1"/>
    <n v="5.7"/>
    <n v="5.9"/>
  </r>
  <r>
    <s v="INC162"/>
    <x v="143"/>
    <x v="5"/>
    <x v="0"/>
    <x v="7"/>
    <x v="3"/>
    <x v="6"/>
    <n v="1"/>
    <n v="18781160"/>
    <n v="0"/>
    <n v="18781160"/>
    <x v="2"/>
    <x v="2"/>
    <s v="Delayed"/>
    <x v="0"/>
    <n v="12"/>
    <n v="8.52"/>
  </r>
  <r>
    <s v="INC163"/>
    <x v="144"/>
    <x v="9"/>
    <x v="0"/>
    <x v="5"/>
    <x v="3"/>
    <x v="4"/>
    <n v="18"/>
    <n v="82345183"/>
    <n v="0"/>
    <n v="82345183"/>
    <x v="2"/>
    <x v="2"/>
    <s v="Delayed"/>
    <x v="0"/>
    <n v="12.99"/>
    <n v="7.6"/>
  </r>
  <r>
    <s v="INC164"/>
    <x v="2"/>
    <x v="2"/>
    <x v="1"/>
    <x v="3"/>
    <x v="1"/>
    <x v="4"/>
    <n v="23"/>
    <n v="0"/>
    <n v="77323347"/>
    <n v="-77323347"/>
    <x v="0"/>
    <x v="0"/>
    <s v="Delayed"/>
    <x v="0"/>
    <n v="4.75"/>
    <n v="7.01"/>
  </r>
  <r>
    <s v="INC165"/>
    <x v="89"/>
    <x v="8"/>
    <x v="0"/>
    <x v="2"/>
    <x v="2"/>
    <x v="4"/>
    <n v="16"/>
    <n v="0"/>
    <n v="40489202"/>
    <n v="-40489202"/>
    <x v="0"/>
    <x v="0"/>
    <s v="Moderate"/>
    <x v="0"/>
    <n v="7.73"/>
    <n v="8.5399999999999991"/>
  </r>
  <r>
    <s v="INC166"/>
    <x v="118"/>
    <x v="3"/>
    <x v="0"/>
    <x v="5"/>
    <x v="3"/>
    <x v="2"/>
    <n v="20"/>
    <n v="35249585"/>
    <n v="0"/>
    <n v="35249585"/>
    <x v="1"/>
    <x v="1"/>
    <s v="Delayed"/>
    <x v="1"/>
    <n v="12.99"/>
    <n v="7.6"/>
  </r>
  <r>
    <s v="INC167"/>
    <x v="145"/>
    <x v="5"/>
    <x v="0"/>
    <x v="8"/>
    <x v="5"/>
    <x v="5"/>
    <n v="39"/>
    <n v="137115873"/>
    <n v="79313286"/>
    <n v="57802587"/>
    <x v="1"/>
    <x v="1"/>
    <s v="Quick"/>
    <x v="0"/>
    <n v="11.83"/>
    <n v="13.15"/>
  </r>
  <r>
    <s v="INC168"/>
    <x v="146"/>
    <x v="5"/>
    <x v="0"/>
    <x v="4"/>
    <x v="3"/>
    <x v="3"/>
    <n v="21"/>
    <n v="0"/>
    <n v="0"/>
    <n v="0"/>
    <x v="3"/>
    <x v="2"/>
    <s v="No Response"/>
    <x v="0"/>
    <n v="10.52"/>
    <n v="7.44"/>
  </r>
  <r>
    <s v="INC169"/>
    <x v="147"/>
    <x v="2"/>
    <x v="0"/>
    <x v="7"/>
    <x v="3"/>
    <x v="6"/>
    <n v="8"/>
    <n v="0"/>
    <n v="0"/>
    <n v="0"/>
    <x v="1"/>
    <x v="1"/>
    <s v="Delayed"/>
    <x v="0"/>
    <n v="12"/>
    <n v="8.52"/>
  </r>
  <r>
    <s v="INC170"/>
    <x v="148"/>
    <x v="8"/>
    <x v="1"/>
    <x v="6"/>
    <x v="4"/>
    <x v="5"/>
    <n v="8"/>
    <n v="0"/>
    <n v="0"/>
    <n v="0"/>
    <x v="2"/>
    <x v="2"/>
    <s v="Delayed"/>
    <x v="0"/>
    <n v="7.38"/>
    <n v="3.93"/>
  </r>
  <r>
    <s v="INC171"/>
    <x v="149"/>
    <x v="11"/>
    <x v="0"/>
    <x v="5"/>
    <x v="3"/>
    <x v="2"/>
    <n v="39"/>
    <n v="0"/>
    <n v="0"/>
    <n v="0"/>
    <x v="1"/>
    <x v="1"/>
    <s v="Quick"/>
    <x v="0"/>
    <n v="12.99"/>
    <n v="7.6"/>
  </r>
  <r>
    <s v="INC172"/>
    <x v="150"/>
    <x v="3"/>
    <x v="0"/>
    <x v="1"/>
    <x v="1"/>
    <x v="0"/>
    <n v="20"/>
    <n v="70344331"/>
    <n v="0"/>
    <n v="70344331"/>
    <x v="2"/>
    <x v="2"/>
    <s v="Moderate"/>
    <x v="1"/>
    <n v="5.7"/>
    <n v="5.9"/>
  </r>
  <r>
    <s v="INC173"/>
    <x v="18"/>
    <x v="6"/>
    <x v="0"/>
    <x v="3"/>
    <x v="1"/>
    <x v="6"/>
    <n v="23"/>
    <n v="0"/>
    <n v="65790798"/>
    <n v="-65790798"/>
    <x v="1"/>
    <x v="1"/>
    <s v="No Response"/>
    <x v="0"/>
    <n v="4.75"/>
    <n v="7.01"/>
  </r>
  <r>
    <s v="INC174"/>
    <x v="151"/>
    <x v="9"/>
    <x v="0"/>
    <x v="10"/>
    <x v="2"/>
    <x v="3"/>
    <n v="22"/>
    <n v="0"/>
    <n v="0"/>
    <n v="0"/>
    <x v="1"/>
    <x v="1"/>
    <s v="Quick"/>
    <x v="0"/>
    <n v="9.07"/>
    <n v="7.49"/>
  </r>
  <r>
    <s v="INC175"/>
    <x v="152"/>
    <x v="4"/>
    <x v="0"/>
    <x v="11"/>
    <x v="3"/>
    <x v="4"/>
    <n v="29"/>
    <n v="134627793"/>
    <n v="0"/>
    <n v="134627793"/>
    <x v="2"/>
    <x v="2"/>
    <s v="Quick"/>
    <x v="1"/>
    <n v="12.17"/>
    <n v="6.66"/>
  </r>
  <r>
    <s v="INC176"/>
    <x v="153"/>
    <x v="6"/>
    <x v="0"/>
    <x v="11"/>
    <x v="3"/>
    <x v="5"/>
    <n v="31"/>
    <n v="73478224"/>
    <n v="0"/>
    <n v="73478224"/>
    <x v="2"/>
    <x v="2"/>
    <s v="Delayed"/>
    <x v="0"/>
    <n v="12.17"/>
    <n v="6.66"/>
  </r>
  <r>
    <s v="INC177"/>
    <x v="154"/>
    <x v="10"/>
    <x v="0"/>
    <x v="0"/>
    <x v="0"/>
    <x v="5"/>
    <n v="16"/>
    <n v="0"/>
    <n v="0"/>
    <n v="0"/>
    <x v="0"/>
    <x v="0"/>
    <s v="Quick"/>
    <x v="0"/>
    <n v="6.21"/>
    <n v="7.07"/>
  </r>
  <r>
    <s v="INC178"/>
    <x v="102"/>
    <x v="9"/>
    <x v="0"/>
    <x v="9"/>
    <x v="4"/>
    <x v="1"/>
    <n v="12"/>
    <n v="134503021"/>
    <n v="0"/>
    <n v="134503021"/>
    <x v="3"/>
    <x v="2"/>
    <s v="Delayed"/>
    <x v="0"/>
    <n v="6.9"/>
    <n v="3.3"/>
  </r>
  <r>
    <s v="INC179"/>
    <x v="155"/>
    <x v="11"/>
    <x v="0"/>
    <x v="11"/>
    <x v="3"/>
    <x v="1"/>
    <n v="9"/>
    <n v="0"/>
    <n v="0"/>
    <n v="0"/>
    <x v="3"/>
    <x v="2"/>
    <s v="No Response"/>
    <x v="1"/>
    <n v="12.17"/>
    <n v="6.66"/>
  </r>
  <r>
    <s v="INC180"/>
    <x v="113"/>
    <x v="4"/>
    <x v="1"/>
    <x v="0"/>
    <x v="0"/>
    <x v="2"/>
    <n v="27"/>
    <n v="0"/>
    <n v="36989778"/>
    <n v="-36989778"/>
    <x v="3"/>
    <x v="2"/>
    <s v="No Response"/>
    <x v="0"/>
    <n v="6.21"/>
    <n v="7.07"/>
  </r>
  <r>
    <s v="INC181"/>
    <x v="156"/>
    <x v="0"/>
    <x v="0"/>
    <x v="0"/>
    <x v="0"/>
    <x v="0"/>
    <n v="17"/>
    <n v="116825347"/>
    <n v="0"/>
    <n v="116825347"/>
    <x v="2"/>
    <x v="2"/>
    <s v="Moderate"/>
    <x v="1"/>
    <n v="6.21"/>
    <n v="7.07"/>
  </r>
  <r>
    <s v="INC182"/>
    <x v="112"/>
    <x v="5"/>
    <x v="1"/>
    <x v="12"/>
    <x v="4"/>
    <x v="1"/>
    <n v="31"/>
    <n v="144315130"/>
    <n v="10059226"/>
    <n v="134255904"/>
    <x v="1"/>
    <x v="1"/>
    <s v="Quick"/>
    <x v="1"/>
    <n v="6.52"/>
    <n v="3.37"/>
  </r>
  <r>
    <s v="INC183"/>
    <x v="143"/>
    <x v="5"/>
    <x v="0"/>
    <x v="3"/>
    <x v="1"/>
    <x v="6"/>
    <n v="27"/>
    <n v="0"/>
    <n v="0"/>
    <n v="0"/>
    <x v="0"/>
    <x v="0"/>
    <s v="Quick"/>
    <x v="0"/>
    <n v="4.75"/>
    <n v="7.01"/>
  </r>
  <r>
    <s v="INC184"/>
    <x v="157"/>
    <x v="3"/>
    <x v="0"/>
    <x v="7"/>
    <x v="3"/>
    <x v="6"/>
    <n v="29"/>
    <n v="0"/>
    <n v="0"/>
    <n v="0"/>
    <x v="1"/>
    <x v="1"/>
    <s v="Moderate"/>
    <x v="0"/>
    <n v="12"/>
    <n v="8.52"/>
  </r>
  <r>
    <s v="INC185"/>
    <x v="158"/>
    <x v="5"/>
    <x v="1"/>
    <x v="0"/>
    <x v="0"/>
    <x v="2"/>
    <n v="9"/>
    <n v="146174916"/>
    <n v="0"/>
    <n v="146174916"/>
    <x v="3"/>
    <x v="2"/>
    <s v="Delayed"/>
    <x v="1"/>
    <n v="6.21"/>
    <n v="7.07"/>
  </r>
  <r>
    <s v="INC186"/>
    <x v="159"/>
    <x v="4"/>
    <x v="0"/>
    <x v="8"/>
    <x v="5"/>
    <x v="0"/>
    <n v="30"/>
    <n v="116897162"/>
    <n v="0"/>
    <n v="116897162"/>
    <x v="2"/>
    <x v="2"/>
    <s v="Quick"/>
    <x v="1"/>
    <n v="11.83"/>
    <n v="13.15"/>
  </r>
  <r>
    <s v="INC187"/>
    <x v="160"/>
    <x v="6"/>
    <x v="0"/>
    <x v="3"/>
    <x v="1"/>
    <x v="2"/>
    <n v="26"/>
    <n v="17821350"/>
    <n v="64904546"/>
    <n v="-47083196"/>
    <x v="3"/>
    <x v="2"/>
    <s v="Quick"/>
    <x v="1"/>
    <n v="4.75"/>
    <n v="7.01"/>
  </r>
  <r>
    <s v="INC188"/>
    <x v="143"/>
    <x v="5"/>
    <x v="0"/>
    <x v="2"/>
    <x v="2"/>
    <x v="5"/>
    <n v="40"/>
    <n v="0"/>
    <n v="10528032"/>
    <n v="-10528032"/>
    <x v="3"/>
    <x v="2"/>
    <s v="No Response"/>
    <x v="1"/>
    <n v="7.73"/>
    <n v="8.5399999999999991"/>
  </r>
  <r>
    <s v="INC189"/>
    <x v="83"/>
    <x v="2"/>
    <x v="0"/>
    <x v="8"/>
    <x v="5"/>
    <x v="1"/>
    <n v="35"/>
    <n v="11743618"/>
    <n v="0"/>
    <n v="11743618"/>
    <x v="1"/>
    <x v="1"/>
    <s v="Moderate"/>
    <x v="1"/>
    <n v="11.83"/>
    <n v="13.15"/>
  </r>
  <r>
    <s v="INC190"/>
    <x v="113"/>
    <x v="4"/>
    <x v="1"/>
    <x v="11"/>
    <x v="3"/>
    <x v="1"/>
    <n v="40"/>
    <n v="20081604"/>
    <n v="0"/>
    <n v="20081604"/>
    <x v="2"/>
    <x v="2"/>
    <s v="No Response"/>
    <x v="1"/>
    <n v="12.17"/>
    <n v="6.66"/>
  </r>
  <r>
    <s v="INC191"/>
    <x v="161"/>
    <x v="7"/>
    <x v="0"/>
    <x v="10"/>
    <x v="2"/>
    <x v="0"/>
    <n v="12"/>
    <n v="0"/>
    <n v="0"/>
    <n v="0"/>
    <x v="2"/>
    <x v="2"/>
    <s v="Delayed"/>
    <x v="0"/>
    <n v="9.07"/>
    <n v="7.49"/>
  </r>
  <r>
    <s v="INC192"/>
    <x v="162"/>
    <x v="0"/>
    <x v="0"/>
    <x v="5"/>
    <x v="3"/>
    <x v="2"/>
    <n v="10"/>
    <n v="0"/>
    <n v="78900046"/>
    <n v="-78900046"/>
    <x v="1"/>
    <x v="1"/>
    <s v="Moderate"/>
    <x v="0"/>
    <n v="12.99"/>
    <n v="7.6"/>
  </r>
  <r>
    <s v="INC193"/>
    <x v="141"/>
    <x v="8"/>
    <x v="0"/>
    <x v="8"/>
    <x v="5"/>
    <x v="5"/>
    <n v="37"/>
    <n v="104511115"/>
    <n v="88701613"/>
    <n v="15809502"/>
    <x v="1"/>
    <x v="1"/>
    <s v="Moderate"/>
    <x v="1"/>
    <n v="11.83"/>
    <n v="13.15"/>
  </r>
  <r>
    <s v="INC194"/>
    <x v="157"/>
    <x v="3"/>
    <x v="0"/>
    <x v="11"/>
    <x v="3"/>
    <x v="4"/>
    <n v="20"/>
    <n v="0"/>
    <n v="0"/>
    <n v="0"/>
    <x v="1"/>
    <x v="1"/>
    <s v="Delayed"/>
    <x v="1"/>
    <n v="12.17"/>
    <n v="6.66"/>
  </r>
  <r>
    <s v="INC195"/>
    <x v="163"/>
    <x v="6"/>
    <x v="0"/>
    <x v="10"/>
    <x v="2"/>
    <x v="0"/>
    <n v="26"/>
    <n v="0"/>
    <n v="0"/>
    <n v="0"/>
    <x v="0"/>
    <x v="0"/>
    <s v="Quick"/>
    <x v="0"/>
    <n v="9.07"/>
    <n v="7.49"/>
  </r>
  <r>
    <s v="INC196"/>
    <x v="164"/>
    <x v="2"/>
    <x v="1"/>
    <x v="11"/>
    <x v="3"/>
    <x v="5"/>
    <n v="6"/>
    <n v="0"/>
    <n v="0"/>
    <n v="0"/>
    <x v="2"/>
    <x v="2"/>
    <s v="Quick"/>
    <x v="0"/>
    <n v="12.17"/>
    <n v="6.66"/>
  </r>
  <r>
    <s v="INC197"/>
    <x v="109"/>
    <x v="10"/>
    <x v="0"/>
    <x v="11"/>
    <x v="3"/>
    <x v="5"/>
    <n v="27"/>
    <n v="0"/>
    <n v="0"/>
    <n v="0"/>
    <x v="2"/>
    <x v="2"/>
    <s v="Moderate"/>
    <x v="1"/>
    <n v="12.17"/>
    <n v="6.66"/>
  </r>
  <r>
    <s v="INC198"/>
    <x v="165"/>
    <x v="4"/>
    <x v="1"/>
    <x v="5"/>
    <x v="3"/>
    <x v="2"/>
    <n v="5"/>
    <n v="0"/>
    <n v="0"/>
    <n v="0"/>
    <x v="2"/>
    <x v="2"/>
    <s v="No Response"/>
    <x v="1"/>
    <n v="12.99"/>
    <n v="7.6"/>
  </r>
  <r>
    <s v="INC199"/>
    <x v="166"/>
    <x v="6"/>
    <x v="0"/>
    <x v="5"/>
    <x v="3"/>
    <x v="4"/>
    <n v="4"/>
    <n v="147203339"/>
    <n v="95400710"/>
    <n v="51802629"/>
    <x v="1"/>
    <x v="1"/>
    <s v="Moderate"/>
    <x v="1"/>
    <n v="12.99"/>
    <n v="7.6"/>
  </r>
  <r>
    <s v="INC200"/>
    <x v="61"/>
    <x v="5"/>
    <x v="0"/>
    <x v="10"/>
    <x v="2"/>
    <x v="1"/>
    <n v="32"/>
    <n v="0"/>
    <n v="0"/>
    <n v="0"/>
    <x v="0"/>
    <x v="0"/>
    <s v="Moderate"/>
    <x v="0"/>
    <n v="9.07"/>
    <n v="7.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5AD536-9DE2-4425-8DF4-778614F930A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11:J19" firstHeaderRow="1" firstDataRow="1" firstDataCol="1"/>
  <pivotFields count="17">
    <pivotField showAll="0"/>
    <pivotField numFmtId="15" showAll="0"/>
    <pivotField showAll="0"/>
    <pivotField showAll="0">
      <items count="3">
        <item x="0"/>
        <item x="1"/>
        <item t="default"/>
      </items>
    </pivotField>
    <pivotField showAll="0"/>
    <pivotField showAll="0">
      <items count="7">
        <item x="2"/>
        <item x="5"/>
        <item x="3"/>
        <item x="0"/>
        <item x="1"/>
        <item x="4"/>
        <item t="default"/>
      </items>
    </pivotField>
    <pivotField axis="axisRow" showAll="0">
      <items count="8">
        <item x="6"/>
        <item x="2"/>
        <item x="4"/>
        <item x="5"/>
        <item x="1"/>
        <item x="3"/>
        <item x="0"/>
        <item t="default"/>
      </items>
    </pivotField>
    <pivotField dataField="1" numFmtId="1" showAll="0"/>
    <pivotField numFmtId="165" showAll="0"/>
    <pivotField numFmtId="165" showAll="0"/>
    <pivotField numFmtId="165" showAll="0"/>
    <pivotField showAll="0"/>
    <pivotField showAll="0"/>
    <pivotField showAll="0"/>
    <pivotField showAll="0">
      <items count="3">
        <item x="1"/>
        <item x="0"/>
        <item t="default"/>
      </items>
    </pivotField>
    <pivotField numFmtId="2" showAll="0"/>
    <pivotField numFmtId="2" showAll="0"/>
  </pivotFields>
  <rowFields count="1">
    <field x="6"/>
  </rowFields>
  <rowItems count="8">
    <i>
      <x/>
    </i>
    <i>
      <x v="1"/>
    </i>
    <i>
      <x v="2"/>
    </i>
    <i>
      <x v="3"/>
    </i>
    <i>
      <x v="4"/>
    </i>
    <i>
      <x v="5"/>
    </i>
    <i>
      <x v="6"/>
    </i>
    <i t="grand">
      <x/>
    </i>
  </rowItems>
  <colItems count="1">
    <i/>
  </colItems>
  <dataFields count="1">
    <dataField name="Sum of Victims_Count" fld="7" baseField="0" baseItem="0" numFmtId="1"/>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CFF719-9A94-4978-A1C7-BAB7E9E7D05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I2:J9" firstHeaderRow="1" firstDataRow="1" firstDataCol="1"/>
  <pivotFields count="17">
    <pivotField showAll="0"/>
    <pivotField numFmtId="15" showAll="0"/>
    <pivotField showAll="0"/>
    <pivotField showAll="0">
      <items count="3">
        <item x="0"/>
        <item x="1"/>
        <item t="default"/>
      </items>
    </pivotField>
    <pivotField showAll="0"/>
    <pivotField axis="axisRow" showAll="0" sortType="descending">
      <items count="7">
        <item x="4"/>
        <item x="1"/>
        <item x="0"/>
        <item x="3"/>
        <item x="5"/>
        <item x="2"/>
        <item t="default"/>
      </items>
      <autoSortScope>
        <pivotArea dataOnly="0" outline="0" fieldPosition="0">
          <references count="1">
            <reference field="4294967294" count="1" selected="0">
              <x v="0"/>
            </reference>
          </references>
        </pivotArea>
      </autoSortScope>
    </pivotField>
    <pivotField showAll="0"/>
    <pivotField dataField="1" numFmtId="1" showAll="0"/>
    <pivotField numFmtId="165" showAll="0"/>
    <pivotField numFmtId="165" showAll="0"/>
    <pivotField numFmtId="165" showAll="0"/>
    <pivotField showAll="0"/>
    <pivotField showAll="0"/>
    <pivotField showAll="0"/>
    <pivotField showAll="0">
      <items count="3">
        <item x="1"/>
        <item x="0"/>
        <item t="default"/>
      </items>
    </pivotField>
    <pivotField numFmtId="2" showAll="0"/>
    <pivotField numFmtId="2" showAll="0"/>
  </pivotFields>
  <rowFields count="1">
    <field x="5"/>
  </rowFields>
  <rowItems count="7">
    <i>
      <x v="3"/>
    </i>
    <i>
      <x v="5"/>
    </i>
    <i>
      <x/>
    </i>
    <i>
      <x v="1"/>
    </i>
    <i>
      <x v="4"/>
    </i>
    <i>
      <x v="2"/>
    </i>
    <i t="grand">
      <x/>
    </i>
  </rowItems>
  <colItems count="1">
    <i/>
  </colItems>
  <dataFields count="1">
    <dataField name="Sum of Victims_Count" fld="7" baseField="0" baseItem="0" numFmtId="1"/>
  </dataFields>
  <chartFormats count="3">
    <chartFormat chart="0"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E7F678-BAAE-4AAC-B987-9A564224AAF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2:M6" firstHeaderRow="1" firstDataRow="1" firstDataCol="1"/>
  <pivotFields count="17">
    <pivotField showAll="0"/>
    <pivotField numFmtId="15" showAll="0"/>
    <pivotField showAll="0"/>
    <pivotField showAll="0">
      <items count="3">
        <item x="0"/>
        <item x="1"/>
        <item t="default"/>
      </items>
    </pivotField>
    <pivotField showAll="0"/>
    <pivotField showAll="0">
      <items count="7">
        <item x="2"/>
        <item x="5"/>
        <item x="3"/>
        <item x="0"/>
        <item x="1"/>
        <item x="4"/>
        <item t="default"/>
      </items>
    </pivotField>
    <pivotField showAll="0"/>
    <pivotField dataField="1" numFmtId="1" showAll="0"/>
    <pivotField numFmtId="165" showAll="0"/>
    <pivotField numFmtId="165" showAll="0"/>
    <pivotField numFmtId="165" showAll="0"/>
    <pivotField showAll="0"/>
    <pivotField axis="axisRow" showAll="0">
      <items count="4">
        <item x="2"/>
        <item x="1"/>
        <item x="0"/>
        <item t="default"/>
      </items>
    </pivotField>
    <pivotField showAll="0"/>
    <pivotField showAll="0">
      <items count="3">
        <item x="1"/>
        <item x="0"/>
        <item t="default"/>
      </items>
    </pivotField>
    <pivotField numFmtId="2" showAll="0"/>
    <pivotField numFmtId="2" showAll="0"/>
  </pivotFields>
  <rowFields count="1">
    <field x="12"/>
  </rowFields>
  <rowItems count="4">
    <i>
      <x/>
    </i>
    <i>
      <x v="1"/>
    </i>
    <i>
      <x v="2"/>
    </i>
    <i t="grand">
      <x/>
    </i>
  </rowItems>
  <colItems count="1">
    <i/>
  </colItems>
  <dataFields count="1">
    <dataField name="Sum of Victims_Count" fld="7" baseField="0" baseItem="0" numFmtId="1"/>
  </dataFields>
  <chartFormats count="4">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12" count="1" selected="0">
            <x v="0"/>
          </reference>
        </references>
      </pivotArea>
    </chartFormat>
    <chartFormat chart="5" format="18">
      <pivotArea type="data" outline="0" fieldPosition="0">
        <references count="2">
          <reference field="4294967294" count="1" selected="0">
            <x v="0"/>
          </reference>
          <reference field="12" count="1" selected="0">
            <x v="1"/>
          </reference>
        </references>
      </pivotArea>
    </chartFormat>
    <chartFormat chart="5" format="19">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789853-5CD4-4476-83BF-993F0109BC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B16" firstHeaderRow="1" firstDataRow="1" firstDataCol="1"/>
  <pivotFields count="17">
    <pivotField showAll="0"/>
    <pivotField numFmtId="15" showAll="0"/>
    <pivotField showAll="0"/>
    <pivotField showAll="0">
      <items count="3">
        <item x="0"/>
        <item x="1"/>
        <item t="default"/>
      </items>
    </pivotField>
    <pivotField axis="axisRow" showAll="0" sortType="descending">
      <items count="14">
        <item x="10"/>
        <item x="0"/>
        <item x="2"/>
        <item x="8"/>
        <item x="1"/>
        <item x="4"/>
        <item x="7"/>
        <item x="5"/>
        <item x="12"/>
        <item x="9"/>
        <item x="6"/>
        <item x="3"/>
        <item x="11"/>
        <item t="default"/>
      </items>
      <autoSortScope>
        <pivotArea dataOnly="0" outline="0" fieldPosition="0">
          <references count="1">
            <reference field="4294967294" count="1" selected="0">
              <x v="0"/>
            </reference>
          </references>
        </pivotArea>
      </autoSortScope>
    </pivotField>
    <pivotField showAll="0">
      <items count="7">
        <item x="2"/>
        <item x="5"/>
        <item x="3"/>
        <item x="0"/>
        <item x="1"/>
        <item x="4"/>
        <item t="default"/>
      </items>
    </pivotField>
    <pivotField showAll="0"/>
    <pivotField dataField="1" numFmtId="1" showAll="0"/>
    <pivotField numFmtId="165" showAll="0"/>
    <pivotField numFmtId="165" showAll="0"/>
    <pivotField numFmtId="165" showAll="0"/>
    <pivotField showAll="0"/>
    <pivotField showAll="0"/>
    <pivotField showAll="0"/>
    <pivotField showAll="0">
      <items count="3">
        <item x="1"/>
        <item x="0"/>
        <item t="default"/>
      </items>
    </pivotField>
    <pivotField numFmtId="2" showAll="0"/>
    <pivotField numFmtId="2" showAll="0"/>
  </pivotFields>
  <rowFields count="1">
    <field x="4"/>
  </rowFields>
  <rowItems count="14">
    <i>
      <x/>
    </i>
    <i>
      <x v="5"/>
    </i>
    <i>
      <x v="12"/>
    </i>
    <i>
      <x v="3"/>
    </i>
    <i>
      <x v="1"/>
    </i>
    <i>
      <x v="11"/>
    </i>
    <i>
      <x v="10"/>
    </i>
    <i>
      <x v="2"/>
    </i>
    <i>
      <x v="9"/>
    </i>
    <i>
      <x v="6"/>
    </i>
    <i>
      <x v="7"/>
    </i>
    <i>
      <x v="4"/>
    </i>
    <i>
      <x v="8"/>
    </i>
    <i t="grand">
      <x/>
    </i>
  </rowItems>
  <colItems count="1">
    <i/>
  </colItems>
  <dataFields count="1">
    <dataField name="Sum of Victims_Count" fld="7" baseField="0" baseItem="0" numFmtId="1"/>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9AD569-A821-47A6-903A-BB99614617A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8:B21" firstHeaderRow="1" firstDataRow="1" firstDataCol="1"/>
  <pivotFields count="17">
    <pivotField showAll="0"/>
    <pivotField numFmtId="15" showAll="0"/>
    <pivotField showAll="0"/>
    <pivotField showAll="0">
      <items count="3">
        <item x="0"/>
        <item x="1"/>
        <item t="default"/>
      </items>
    </pivotField>
    <pivotField showAll="0"/>
    <pivotField showAll="0">
      <items count="7">
        <item x="2"/>
        <item x="5"/>
        <item x="3"/>
        <item x="0"/>
        <item x="1"/>
        <item x="4"/>
        <item t="default"/>
      </items>
    </pivotField>
    <pivotField showAll="0"/>
    <pivotField dataField="1" numFmtId="1" showAll="0"/>
    <pivotField numFmtId="165" showAll="0"/>
    <pivotField numFmtId="165" showAll="0"/>
    <pivotField numFmtId="165" showAll="0"/>
    <pivotField showAll="0"/>
    <pivotField showAll="0"/>
    <pivotField showAll="0"/>
    <pivotField axis="axisRow" showAll="0">
      <items count="3">
        <item x="1"/>
        <item x="0"/>
        <item t="default"/>
      </items>
    </pivotField>
    <pivotField numFmtId="2" showAll="0"/>
    <pivotField numFmtId="2" showAll="0"/>
  </pivotFields>
  <rowFields count="1">
    <field x="14"/>
  </rowFields>
  <rowItems count="3">
    <i>
      <x/>
    </i>
    <i>
      <x v="1"/>
    </i>
    <i t="grand">
      <x/>
    </i>
  </rowItems>
  <colItems count="1">
    <i/>
  </colItems>
  <dataFields count="1">
    <dataField name="Sum of Victims_Count" fld="7" baseField="0" baseItem="0" numFmtId="1"/>
  </dataFields>
  <chartFormats count="4">
    <chartFormat chart="0" format="0" series="1">
      <pivotArea type="data" outline="0" fieldPosition="0">
        <references count="1">
          <reference field="4294967294" count="1" selected="0">
            <x v="0"/>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4" count="1" selected="0">
            <x v="0"/>
          </reference>
        </references>
      </pivotArea>
    </chartFormat>
    <chartFormat chart="9" format="1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35BDA2-D50D-4E5B-8569-99BDB195B01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8:E23" firstHeaderRow="1" firstDataRow="1" firstDataCol="1"/>
  <pivotFields count="17">
    <pivotField showAll="0"/>
    <pivotField numFmtId="15" showAll="0"/>
    <pivotField showAll="0"/>
    <pivotField showAll="0">
      <items count="3">
        <item x="0"/>
        <item x="1"/>
        <item t="default"/>
      </items>
    </pivotField>
    <pivotField showAll="0"/>
    <pivotField showAll="0">
      <items count="7">
        <item x="2"/>
        <item x="5"/>
        <item x="3"/>
        <item x="0"/>
        <item x="1"/>
        <item x="4"/>
        <item t="default"/>
      </items>
    </pivotField>
    <pivotField showAll="0"/>
    <pivotField dataField="1" numFmtId="1" showAll="0"/>
    <pivotField numFmtId="165" showAll="0"/>
    <pivotField numFmtId="165" showAll="0"/>
    <pivotField numFmtId="165" showAll="0"/>
    <pivotField axis="axisRow" showAll="0">
      <items count="5">
        <item x="2"/>
        <item x="0"/>
        <item x="1"/>
        <item x="3"/>
        <item t="default"/>
      </items>
    </pivotField>
    <pivotField showAll="0"/>
    <pivotField showAll="0"/>
    <pivotField showAll="0">
      <items count="3">
        <item x="1"/>
        <item x="0"/>
        <item t="default"/>
      </items>
    </pivotField>
    <pivotField numFmtId="2" showAll="0"/>
    <pivotField numFmtId="2" showAll="0"/>
  </pivotFields>
  <rowFields count="1">
    <field x="11"/>
  </rowFields>
  <rowItems count="5">
    <i>
      <x/>
    </i>
    <i>
      <x v="1"/>
    </i>
    <i>
      <x v="2"/>
    </i>
    <i>
      <x v="3"/>
    </i>
    <i t="grand">
      <x/>
    </i>
  </rowItems>
  <colItems count="1">
    <i/>
  </colItems>
  <dataFields count="1">
    <dataField name="Sum of Victims_Count" fld="7" baseField="0" baseItem="0" numFmtId="1"/>
  </dataFields>
  <chartFormats count="2">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80FD7F-1CA0-4EC9-8193-7AC4BA80323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G16" firstHeaderRow="1" firstDataRow="2" firstDataCol="1"/>
  <pivotFields count="17">
    <pivotField showAll="0"/>
    <pivotField numFmtId="15" showAll="0"/>
    <pivotField axis="axisRow" showAll="0">
      <items count="13">
        <item x="2"/>
        <item x="4"/>
        <item x="5"/>
        <item x="7"/>
        <item x="8"/>
        <item x="1"/>
        <item x="10"/>
        <item x="3"/>
        <item x="6"/>
        <item x="0"/>
        <item x="9"/>
        <item x="11"/>
        <item t="default"/>
      </items>
    </pivotField>
    <pivotField axis="axisCol" showAll="0">
      <items count="3">
        <item x="0"/>
        <item x="1"/>
        <item t="default"/>
      </items>
    </pivotField>
    <pivotField showAll="0"/>
    <pivotField showAll="0">
      <items count="7">
        <item x="2"/>
        <item x="5"/>
        <item x="3"/>
        <item x="0"/>
        <item x="1"/>
        <item x="4"/>
        <item t="default"/>
      </items>
    </pivotField>
    <pivotField showAll="0"/>
    <pivotField dataField="1" numFmtId="1" showAll="0"/>
    <pivotField numFmtId="165" showAll="0"/>
    <pivotField numFmtId="165" showAll="0"/>
    <pivotField numFmtId="165" showAll="0"/>
    <pivotField showAll="0"/>
    <pivotField showAll="0"/>
    <pivotField showAll="0"/>
    <pivotField showAll="0">
      <items count="3">
        <item x="1"/>
        <item x="0"/>
        <item t="default"/>
      </items>
    </pivotField>
    <pivotField numFmtId="2" showAll="0"/>
    <pivotField numFmtId="2" showAll="0"/>
  </pivotFields>
  <rowFields count="1">
    <field x="2"/>
  </rowFields>
  <rowItems count="13">
    <i>
      <x/>
    </i>
    <i>
      <x v="1"/>
    </i>
    <i>
      <x v="2"/>
    </i>
    <i>
      <x v="3"/>
    </i>
    <i>
      <x v="4"/>
    </i>
    <i>
      <x v="5"/>
    </i>
    <i>
      <x v="6"/>
    </i>
    <i>
      <x v="7"/>
    </i>
    <i>
      <x v="8"/>
    </i>
    <i>
      <x v="9"/>
    </i>
    <i>
      <x v="10"/>
    </i>
    <i>
      <x v="11"/>
    </i>
    <i t="grand">
      <x/>
    </i>
  </rowItems>
  <colFields count="1">
    <field x="3"/>
  </colFields>
  <colItems count="3">
    <i>
      <x/>
    </i>
    <i>
      <x v="1"/>
    </i>
    <i t="grand">
      <x/>
    </i>
  </colItems>
  <dataFields count="1">
    <dataField name="Sum of Victims_Count" fld="7" baseField="0" baseItem="0" numFmtId="1"/>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6" format="12" series="1">
      <pivotArea type="data" outline="0" fieldPosition="0">
        <references count="2">
          <reference field="4294967294" count="1" selected="0">
            <x v="0"/>
          </reference>
          <reference field="3" count="1" selected="0">
            <x v="0"/>
          </reference>
        </references>
      </pivotArea>
    </chartFormat>
    <chartFormat chart="6" format="13"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CBBB118-6C85-4401-823E-BB4325529430}" sourceName="Region">
  <pivotTables>
    <pivotTable tabId="3" name="PivotTable3"/>
    <pivotTable tabId="3" name="PivotTable10"/>
    <pivotTable tabId="3" name="PivotTable13"/>
    <pivotTable tabId="3" name="PivotTable2"/>
    <pivotTable tabId="3" name="PivotTable5"/>
    <pivotTable tabId="3" name="PivotTable6"/>
    <pivotTable tabId="3" name="PivotTable7"/>
  </pivotTables>
  <data>
    <tabular pivotCacheId="2104303896">
      <items count="6">
        <i x="2" s="1"/>
        <i x="5"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rban_Rural" xr10:uid="{65B4C2E0-DB0E-4D0E-A33A-D78C980E03F7}" sourceName="Urban_Rural">
  <pivotTables>
    <pivotTable tabId="3" name="PivotTable5"/>
    <pivotTable tabId="3" name="PivotTable10"/>
    <pivotTable tabId="3" name="PivotTable13"/>
    <pivotTable tabId="3" name="PivotTable2"/>
    <pivotTable tabId="3" name="PivotTable3"/>
    <pivotTable tabId="3" name="PivotTable6"/>
    <pivotTable tabId="3" name="PivotTable7"/>
  </pivotTables>
  <data>
    <tabular pivotCacheId="210430389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7F6C1E2-3FB9-4CDF-88A4-C4F92839C8C0}" sourceName="Year">
  <pivotTables>
    <pivotTable tabId="3" name="PivotTable6"/>
    <pivotTable tabId="3" name="PivotTable10"/>
    <pivotTable tabId="3" name="PivotTable13"/>
    <pivotTable tabId="3" name="PivotTable2"/>
    <pivotTable tabId="3" name="PivotTable3"/>
    <pivotTable tabId="3" name="PivotTable5"/>
    <pivotTable tabId="3" name="PivotTable7"/>
  </pivotTables>
  <data>
    <tabular pivotCacheId="210430389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73F3CDDC-64B2-4B68-8043-4FFDFF2CC9DD}" cache="Slicer_Region" caption="Region" columnCount="3" style="SlicerStyleDark3" rowHeight="241300"/>
  <slicer name="Urban_Rural 2" xr10:uid="{0D47219D-76B1-42EA-A406-CF53595CF0B6}" cache="Slicer_Urban_Rural" caption="Urban_Rural" columnCount="2" style="SlicerStyleDark3" rowHeight="241300"/>
  <slicer name="Year 2" xr10:uid="{5DE7293D-2F87-42C7-A993-37624B4DF5D3}" cache="Slicer_Year" caption="Year" columnCount="2"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E7D2FC-A281-4B9E-A0D5-269268A4445E}" name="Table1" displayName="Table1" ref="A1:Q201" totalsRowShown="0" headerRowDxfId="17">
  <autoFilter ref="A1:Q201" xr:uid="{E6E7D2FC-A281-4B9E-A0D5-269268A4445E}"/>
  <tableColumns count="17">
    <tableColumn id="1" xr3:uid="{5FA05D2B-8092-46D6-9339-9BBED25B83EC}" name="Incident_ID" dataDxfId="16"/>
    <tableColumn id="2" xr3:uid="{F3A862F8-8EF8-43C2-9B89-DE717055AF17}" name="Date" dataDxfId="15"/>
    <tableColumn id="3" xr3:uid="{B9603E04-D02A-4489-9D91-41E160C8825E}" name="Month" dataDxfId="14">
      <calculatedColumnFormula>TEXT(B2,"mmm")</calculatedColumnFormula>
    </tableColumn>
    <tableColumn id="4" xr3:uid="{FE61BB9E-8FF0-4135-A8BB-52EE17254A05}" name="Year" dataDxfId="13">
      <calculatedColumnFormula>TEXT(B2,"yyyy")</calculatedColumnFormula>
    </tableColumn>
    <tableColumn id="5" xr3:uid="{4E82844F-7C73-4638-A895-C3229037C978}" name="State" dataDxfId="12"/>
    <tableColumn id="6" xr3:uid="{4CE83D86-09FA-44AC-994E-2E68A185A98D}" name="Region" dataDxfId="11"/>
    <tableColumn id="7" xr3:uid="{47EDC7B8-42C2-4C09-8D25-F5C65F8FA17F}" name="Location_Type" dataDxfId="10"/>
    <tableColumn id="8" xr3:uid="{55D72EBF-9EDC-4560-8427-6BC5D0A1C7CA}" name="Victims_Count" dataDxfId="9"/>
    <tableColumn id="9" xr3:uid="{78EBB88B-9B49-4398-B76D-9F759553FF35}" name="Ransom_Demanded_NGN" dataDxfId="8"/>
    <tableColumn id="10" xr3:uid="{50157B32-8311-4E4E-A9BD-26E06D79261F}" name="Ransom_Paid_NGN" dataDxfId="7"/>
    <tableColumn id="11" xr3:uid="{48E8FC5E-FDD2-4EBB-AD7F-94FDD03CBCFA}" name="Ransom_Gap" dataDxfId="6">
      <calculatedColumnFormula>I2-J2</calculatedColumnFormula>
    </tableColumn>
    <tableColumn id="12" xr3:uid="{E7374C54-1BFD-4415-8471-59483E7F0154}" name="Outcome" dataDxfId="5"/>
    <tableColumn id="18" xr3:uid="{83829667-83D9-4F89-910D-CB09F7DBA53B}" name="Survival_flag2" dataDxfId="4"/>
    <tableColumn id="14" xr3:uid="{1B97E123-0D36-4BC9-9CAB-E28FE7C9010B}" name="Security_Response" dataDxfId="3"/>
    <tableColumn id="15" xr3:uid="{BBCE423B-DC69-44B6-9DB0-02F9645A3CBE}" name="Urban_Rural" dataDxfId="2"/>
    <tableColumn id="16" xr3:uid="{7DDD9451-F88E-41EF-9137-3732D447D593}" name="Latitude" dataDxfId="1"/>
    <tableColumn id="17" xr3:uid="{89E42B9A-A2C3-4F88-83DF-7D3DF143BDFA}" name="Longitude" dataDxfId="0"/>
  </tableColumns>
  <tableStyleInfo name="TableStyleMedium12" showFirstColumn="0" showLastColumn="0" showRowStripes="0" showColumnStripes="0"/>
</table>
</file>

<file path=xl/theme/theme1.xml><?xml version="1.0" encoding="utf-8"?>
<a:theme xmlns:a="http://schemas.openxmlformats.org/drawingml/2006/main" name="Office Theme">
  <a:themeElements>
    <a:clrScheme name="Custom 3">
      <a:dk1>
        <a:sysClr val="windowText" lastClr="000000"/>
      </a:dk1>
      <a:lt1>
        <a:sysClr val="window" lastClr="FFFFFF"/>
      </a:lt1>
      <a:dk2>
        <a:srgbClr val="455F51"/>
      </a:dk2>
      <a:lt2>
        <a:srgbClr val="E2DFCC"/>
      </a:lt2>
      <a:accent1>
        <a:srgbClr val="99CB38"/>
      </a:accent1>
      <a:accent2>
        <a:srgbClr val="63A537"/>
      </a:accent2>
      <a:accent3>
        <a:srgbClr val="00B050"/>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47DEC14-361E-45B7-B60E-63BE0C52C5D1}" sourceName="Date">
  <state minimalRefreshVersion="6" lastRefreshVersion="6" pivotCacheId="210430389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F84873C-F2C0-42F2-97A1-3037B3329437}" cache="NativeTimeline_Date" caption="Date" showSelectionLabel="0" showTimeLevel="0" showHorizontalScrollbar="0" level="2" selectionLevel="2" scrollPosition="2023-10-01T00:00:00" style="TimeSlicerStyleDark3"/>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workbookViewId="0">
      <selection activeCell="L8" sqref="L8"/>
    </sheetView>
  </sheetViews>
  <sheetFormatPr defaultRowHeight="15" x14ac:dyDescent="0.25"/>
  <cols>
    <col min="1" max="1" width="11.140625" bestFit="1" customWidth="1"/>
    <col min="2" max="2" width="10.42578125" bestFit="1" customWidth="1"/>
    <col min="3" max="3" width="9" bestFit="1" customWidth="1"/>
    <col min="4" max="4" width="13.140625" bestFit="1" customWidth="1"/>
    <col min="5" max="5" width="13.85546875" bestFit="1" customWidth="1"/>
    <col min="6" max="6" width="14" bestFit="1" customWidth="1"/>
    <col min="7" max="7" width="24.28515625" bestFit="1" customWidth="1"/>
    <col min="8" max="8" width="18.28515625" bestFit="1" customWidth="1"/>
    <col min="9" max="9" width="10.5703125" bestFit="1" customWidth="1"/>
    <col min="10" max="10" width="18" bestFit="1" customWidth="1"/>
    <col min="11" max="11" width="11.85546875" bestFit="1" customWidth="1"/>
    <col min="12" max="12" width="8.285156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v>35</v>
      </c>
      <c r="G2">
        <v>72497088</v>
      </c>
      <c r="I2" t="s">
        <v>18</v>
      </c>
      <c r="J2" t="s">
        <v>19</v>
      </c>
      <c r="K2" t="s">
        <v>20</v>
      </c>
      <c r="L2">
        <v>6.21</v>
      </c>
      <c r="M2">
        <v>7.07</v>
      </c>
    </row>
    <row r="3" spans="1:13" x14ac:dyDescent="0.25">
      <c r="A3" t="s">
        <v>21</v>
      </c>
      <c r="B3" t="s">
        <v>22</v>
      </c>
      <c r="C3" t="s">
        <v>23</v>
      </c>
      <c r="D3" t="s">
        <v>24</v>
      </c>
      <c r="E3" t="s">
        <v>25</v>
      </c>
      <c r="F3">
        <v>33</v>
      </c>
      <c r="G3">
        <v>77888592</v>
      </c>
      <c r="H3">
        <v>0</v>
      </c>
      <c r="I3" t="s">
        <v>26</v>
      </c>
      <c r="J3" t="s">
        <v>27</v>
      </c>
      <c r="K3" t="s">
        <v>20</v>
      </c>
      <c r="L3">
        <v>5.7</v>
      </c>
      <c r="M3">
        <v>5.9</v>
      </c>
    </row>
    <row r="4" spans="1:13" x14ac:dyDescent="0.25">
      <c r="A4" t="s">
        <v>28</v>
      </c>
      <c r="B4" t="s">
        <v>29</v>
      </c>
      <c r="C4" t="s">
        <v>30</v>
      </c>
      <c r="D4" t="s">
        <v>31</v>
      </c>
      <c r="E4" t="s">
        <v>32</v>
      </c>
      <c r="F4">
        <v>27</v>
      </c>
      <c r="G4">
        <v>134801379</v>
      </c>
      <c r="H4">
        <v>79002054</v>
      </c>
      <c r="I4" t="s">
        <v>33</v>
      </c>
      <c r="J4" t="s">
        <v>34</v>
      </c>
      <c r="K4" t="s">
        <v>20</v>
      </c>
      <c r="L4">
        <v>7.73</v>
      </c>
      <c r="M4">
        <v>8.5399999999999991</v>
      </c>
    </row>
    <row r="5" spans="1:13" x14ac:dyDescent="0.25">
      <c r="A5" t="s">
        <v>35</v>
      </c>
      <c r="B5" t="s">
        <v>36</v>
      </c>
      <c r="C5" t="s">
        <v>37</v>
      </c>
      <c r="D5" t="s">
        <v>24</v>
      </c>
      <c r="E5" t="s">
        <v>17</v>
      </c>
      <c r="F5">
        <v>2</v>
      </c>
      <c r="G5">
        <v>76320051</v>
      </c>
      <c r="H5">
        <v>24647031</v>
      </c>
      <c r="I5" t="s">
        <v>18</v>
      </c>
      <c r="J5" t="s">
        <v>38</v>
      </c>
      <c r="K5" t="s">
        <v>20</v>
      </c>
      <c r="L5">
        <v>4.75</v>
      </c>
      <c r="M5">
        <v>7.01</v>
      </c>
    </row>
    <row r="6" spans="1:13" x14ac:dyDescent="0.25">
      <c r="A6" t="s">
        <v>39</v>
      </c>
      <c r="B6" t="s">
        <v>40</v>
      </c>
      <c r="C6" t="s">
        <v>41</v>
      </c>
      <c r="D6" t="s">
        <v>42</v>
      </c>
      <c r="E6" t="s">
        <v>43</v>
      </c>
      <c r="F6">
        <v>26</v>
      </c>
      <c r="H6">
        <v>41156046</v>
      </c>
      <c r="I6" t="s">
        <v>18</v>
      </c>
      <c r="J6" t="s">
        <v>19</v>
      </c>
      <c r="K6" t="s">
        <v>44</v>
      </c>
      <c r="L6">
        <v>10.52</v>
      </c>
      <c r="M6">
        <v>7.44</v>
      </c>
    </row>
    <row r="7" spans="1:13" x14ac:dyDescent="0.25">
      <c r="A7" t="s">
        <v>45</v>
      </c>
      <c r="B7" t="s">
        <v>46</v>
      </c>
      <c r="C7" t="s">
        <v>37</v>
      </c>
      <c r="D7" t="s">
        <v>24</v>
      </c>
      <c r="E7" t="s">
        <v>25</v>
      </c>
      <c r="F7">
        <v>32</v>
      </c>
      <c r="G7">
        <v>75745312</v>
      </c>
      <c r="H7">
        <v>0</v>
      </c>
      <c r="I7" t="s">
        <v>26</v>
      </c>
      <c r="J7" t="s">
        <v>34</v>
      </c>
      <c r="K7" t="s">
        <v>44</v>
      </c>
      <c r="L7">
        <v>4.75</v>
      </c>
      <c r="M7">
        <v>7.01</v>
      </c>
    </row>
    <row r="8" spans="1:13" x14ac:dyDescent="0.25">
      <c r="A8" t="s">
        <v>47</v>
      </c>
      <c r="B8" t="s">
        <v>48</v>
      </c>
      <c r="C8" t="s">
        <v>15</v>
      </c>
      <c r="D8" t="s">
        <v>16</v>
      </c>
      <c r="E8" t="s">
        <v>49</v>
      </c>
      <c r="F8">
        <v>6</v>
      </c>
      <c r="G8">
        <v>55275076</v>
      </c>
      <c r="H8">
        <v>22699975</v>
      </c>
      <c r="I8" t="s">
        <v>26</v>
      </c>
      <c r="J8" t="s">
        <v>27</v>
      </c>
      <c r="K8" t="s">
        <v>20</v>
      </c>
      <c r="L8">
        <v>6.21</v>
      </c>
      <c r="M8">
        <v>7.07</v>
      </c>
    </row>
    <row r="9" spans="1:13" x14ac:dyDescent="0.25">
      <c r="A9" t="s">
        <v>50</v>
      </c>
      <c r="B9" t="s">
        <v>51</v>
      </c>
      <c r="C9" t="s">
        <v>52</v>
      </c>
      <c r="D9" t="s">
        <v>42</v>
      </c>
      <c r="E9" t="s">
        <v>49</v>
      </c>
      <c r="F9">
        <v>7</v>
      </c>
      <c r="H9">
        <v>50956733</v>
      </c>
      <c r="I9" t="s">
        <v>33</v>
      </c>
      <c r="J9" t="s">
        <v>34</v>
      </c>
      <c r="K9" t="s">
        <v>44</v>
      </c>
      <c r="L9">
        <v>12.99</v>
      </c>
      <c r="M9">
        <v>7.6</v>
      </c>
    </row>
    <row r="10" spans="1:13" x14ac:dyDescent="0.25">
      <c r="A10" t="s">
        <v>53</v>
      </c>
      <c r="B10" t="s">
        <v>54</v>
      </c>
      <c r="C10" t="s">
        <v>15</v>
      </c>
      <c r="D10" t="s">
        <v>16</v>
      </c>
      <c r="E10" t="s">
        <v>49</v>
      </c>
      <c r="F10">
        <v>26</v>
      </c>
      <c r="H10">
        <v>88603491</v>
      </c>
      <c r="I10" t="s">
        <v>18</v>
      </c>
      <c r="J10" t="s">
        <v>19</v>
      </c>
      <c r="K10" t="s">
        <v>20</v>
      </c>
      <c r="L10">
        <v>6.21</v>
      </c>
      <c r="M10">
        <v>7.07</v>
      </c>
    </row>
    <row r="11" spans="1:13" x14ac:dyDescent="0.25">
      <c r="A11" t="s">
        <v>55</v>
      </c>
      <c r="B11" t="s">
        <v>56</v>
      </c>
      <c r="C11" t="s">
        <v>37</v>
      </c>
      <c r="D11" t="s">
        <v>24</v>
      </c>
      <c r="E11" t="s">
        <v>57</v>
      </c>
      <c r="F11">
        <v>36</v>
      </c>
      <c r="I11" t="s">
        <v>33</v>
      </c>
      <c r="J11" t="s">
        <v>34</v>
      </c>
      <c r="K11" t="s">
        <v>44</v>
      </c>
      <c r="L11">
        <v>4.75</v>
      </c>
      <c r="M11">
        <v>7.01</v>
      </c>
    </row>
    <row r="12" spans="1:13" x14ac:dyDescent="0.25">
      <c r="A12" t="s">
        <v>58</v>
      </c>
      <c r="B12" t="s">
        <v>59</v>
      </c>
      <c r="C12" t="s">
        <v>60</v>
      </c>
      <c r="D12" t="s">
        <v>61</v>
      </c>
      <c r="E12" t="s">
        <v>43</v>
      </c>
      <c r="F12">
        <v>2</v>
      </c>
      <c r="H12">
        <v>58873884</v>
      </c>
      <c r="I12" t="s">
        <v>18</v>
      </c>
      <c r="J12" t="s">
        <v>34</v>
      </c>
      <c r="K12" t="s">
        <v>44</v>
      </c>
      <c r="L12">
        <v>7.38</v>
      </c>
      <c r="M12">
        <v>3.93</v>
      </c>
    </row>
    <row r="13" spans="1:13" x14ac:dyDescent="0.25">
      <c r="A13" t="s">
        <v>62</v>
      </c>
      <c r="B13" t="s">
        <v>63</v>
      </c>
      <c r="C13" t="s">
        <v>64</v>
      </c>
      <c r="D13" t="s">
        <v>42</v>
      </c>
      <c r="E13" t="s">
        <v>49</v>
      </c>
      <c r="F13">
        <v>9</v>
      </c>
      <c r="I13" t="s">
        <v>18</v>
      </c>
      <c r="J13" t="s">
        <v>19</v>
      </c>
      <c r="K13" t="s">
        <v>44</v>
      </c>
      <c r="L13">
        <v>12</v>
      </c>
      <c r="M13">
        <v>8.52</v>
      </c>
    </row>
    <row r="14" spans="1:13" x14ac:dyDescent="0.25">
      <c r="A14" t="s">
        <v>65</v>
      </c>
      <c r="B14" t="s">
        <v>66</v>
      </c>
      <c r="C14" t="s">
        <v>67</v>
      </c>
      <c r="D14" t="s">
        <v>68</v>
      </c>
      <c r="E14" t="s">
        <v>69</v>
      </c>
      <c r="F14">
        <v>5</v>
      </c>
      <c r="G14">
        <v>50380697</v>
      </c>
      <c r="H14">
        <v>0</v>
      </c>
      <c r="I14" t="s">
        <v>26</v>
      </c>
      <c r="J14" t="s">
        <v>27</v>
      </c>
      <c r="K14" t="s">
        <v>20</v>
      </c>
      <c r="L14">
        <v>11.83</v>
      </c>
      <c r="M14">
        <v>13.15</v>
      </c>
    </row>
    <row r="15" spans="1:13" x14ac:dyDescent="0.25">
      <c r="A15" t="s">
        <v>70</v>
      </c>
      <c r="B15" t="s">
        <v>71</v>
      </c>
      <c r="C15" t="s">
        <v>72</v>
      </c>
      <c r="D15" t="s">
        <v>61</v>
      </c>
      <c r="E15" t="s">
        <v>32</v>
      </c>
      <c r="F15">
        <v>33</v>
      </c>
      <c r="G15">
        <v>92733780</v>
      </c>
      <c r="H15">
        <v>0</v>
      </c>
      <c r="I15" t="s">
        <v>18</v>
      </c>
      <c r="J15" t="s">
        <v>27</v>
      </c>
      <c r="K15" t="s">
        <v>20</v>
      </c>
      <c r="L15">
        <v>6.9</v>
      </c>
      <c r="M15">
        <v>3.3</v>
      </c>
    </row>
    <row r="16" spans="1:13" x14ac:dyDescent="0.25">
      <c r="A16" t="s">
        <v>73</v>
      </c>
      <c r="B16" t="s">
        <v>74</v>
      </c>
      <c r="C16" t="s">
        <v>41</v>
      </c>
      <c r="D16" t="s">
        <v>42</v>
      </c>
      <c r="E16" t="s">
        <v>17</v>
      </c>
      <c r="F16">
        <v>37</v>
      </c>
      <c r="I16" t="s">
        <v>26</v>
      </c>
      <c r="J16" t="s">
        <v>38</v>
      </c>
      <c r="K16" t="s">
        <v>20</v>
      </c>
      <c r="L16">
        <v>10.52</v>
      </c>
      <c r="M16">
        <v>7.44</v>
      </c>
    </row>
    <row r="17" spans="1:13" x14ac:dyDescent="0.25">
      <c r="A17" t="s">
        <v>75</v>
      </c>
      <c r="B17" t="s">
        <v>76</v>
      </c>
      <c r="C17" t="s">
        <v>77</v>
      </c>
      <c r="D17" t="s">
        <v>31</v>
      </c>
      <c r="E17" t="s">
        <v>57</v>
      </c>
      <c r="F17">
        <v>31</v>
      </c>
      <c r="G17">
        <v>21837137</v>
      </c>
      <c r="H17">
        <v>0</v>
      </c>
      <c r="I17" t="s">
        <v>18</v>
      </c>
      <c r="J17" t="s">
        <v>34</v>
      </c>
      <c r="K17" t="s">
        <v>44</v>
      </c>
      <c r="L17">
        <v>9.07</v>
      </c>
      <c r="M17">
        <v>7.49</v>
      </c>
    </row>
    <row r="18" spans="1:13" x14ac:dyDescent="0.25">
      <c r="A18" t="s">
        <v>78</v>
      </c>
      <c r="B18" t="s">
        <v>79</v>
      </c>
      <c r="C18" t="s">
        <v>52</v>
      </c>
      <c r="D18" t="s">
        <v>42</v>
      </c>
      <c r="E18" t="s">
        <v>32</v>
      </c>
      <c r="F18">
        <v>6</v>
      </c>
      <c r="H18">
        <v>91448340</v>
      </c>
      <c r="I18" t="s">
        <v>33</v>
      </c>
      <c r="J18" t="s">
        <v>19</v>
      </c>
      <c r="K18" t="s">
        <v>44</v>
      </c>
      <c r="L18">
        <v>12.99</v>
      </c>
      <c r="M18">
        <v>7.6</v>
      </c>
    </row>
    <row r="19" spans="1:13" x14ac:dyDescent="0.25">
      <c r="A19" t="s">
        <v>80</v>
      </c>
      <c r="B19" t="s">
        <v>81</v>
      </c>
      <c r="C19" t="s">
        <v>41</v>
      </c>
      <c r="D19" t="s">
        <v>42</v>
      </c>
      <c r="E19" t="s">
        <v>43</v>
      </c>
      <c r="F19">
        <v>27</v>
      </c>
      <c r="G19">
        <v>102642847</v>
      </c>
      <c r="I19" t="s">
        <v>18</v>
      </c>
      <c r="J19" t="s">
        <v>27</v>
      </c>
      <c r="K19" t="s">
        <v>20</v>
      </c>
      <c r="L19">
        <v>10.52</v>
      </c>
      <c r="M19">
        <v>7.44</v>
      </c>
    </row>
    <row r="20" spans="1:13" x14ac:dyDescent="0.25">
      <c r="A20" t="s">
        <v>82</v>
      </c>
      <c r="B20" t="s">
        <v>83</v>
      </c>
      <c r="C20" t="s">
        <v>84</v>
      </c>
      <c r="D20" t="s">
        <v>42</v>
      </c>
      <c r="E20" t="s">
        <v>32</v>
      </c>
      <c r="F20">
        <v>32</v>
      </c>
      <c r="G20">
        <v>145308817</v>
      </c>
      <c r="H20">
        <v>0</v>
      </c>
      <c r="I20" t="s">
        <v>33</v>
      </c>
      <c r="J20" t="s">
        <v>27</v>
      </c>
      <c r="K20" t="s">
        <v>44</v>
      </c>
      <c r="L20">
        <v>12.17</v>
      </c>
      <c r="M20">
        <v>6.66</v>
      </c>
    </row>
    <row r="21" spans="1:13" x14ac:dyDescent="0.25">
      <c r="A21" t="s">
        <v>85</v>
      </c>
      <c r="B21" t="s">
        <v>86</v>
      </c>
      <c r="C21" t="s">
        <v>87</v>
      </c>
      <c r="D21" t="s">
        <v>61</v>
      </c>
      <c r="E21" t="s">
        <v>32</v>
      </c>
      <c r="F21">
        <v>18</v>
      </c>
      <c r="H21">
        <v>8072532</v>
      </c>
      <c r="I21" t="s">
        <v>26</v>
      </c>
      <c r="J21" t="s">
        <v>34</v>
      </c>
      <c r="K21" t="s">
        <v>44</v>
      </c>
      <c r="L21">
        <v>6.52</v>
      </c>
      <c r="M21">
        <v>3.37</v>
      </c>
    </row>
    <row r="22" spans="1:13" x14ac:dyDescent="0.25">
      <c r="A22" t="s">
        <v>88</v>
      </c>
      <c r="B22" t="s">
        <v>89</v>
      </c>
      <c r="C22" t="s">
        <v>37</v>
      </c>
      <c r="D22" t="s">
        <v>24</v>
      </c>
      <c r="E22" t="s">
        <v>69</v>
      </c>
      <c r="F22">
        <v>5</v>
      </c>
      <c r="H22">
        <v>71976301</v>
      </c>
      <c r="I22" t="s">
        <v>90</v>
      </c>
      <c r="J22" t="s">
        <v>34</v>
      </c>
      <c r="K22" t="s">
        <v>20</v>
      </c>
      <c r="L22">
        <v>4.75</v>
      </c>
      <c r="M22">
        <v>7.01</v>
      </c>
    </row>
    <row r="23" spans="1:13" x14ac:dyDescent="0.25">
      <c r="A23" t="s">
        <v>91</v>
      </c>
      <c r="B23" t="s">
        <v>92</v>
      </c>
      <c r="C23" t="s">
        <v>52</v>
      </c>
      <c r="D23" t="s">
        <v>42</v>
      </c>
      <c r="E23" t="s">
        <v>43</v>
      </c>
      <c r="F23">
        <v>12</v>
      </c>
      <c r="H23">
        <v>0</v>
      </c>
      <c r="I23" t="s">
        <v>18</v>
      </c>
      <c r="J23" t="s">
        <v>19</v>
      </c>
      <c r="K23" t="s">
        <v>20</v>
      </c>
      <c r="L23">
        <v>12.99</v>
      </c>
      <c r="M23">
        <v>7.6</v>
      </c>
    </row>
    <row r="24" spans="1:13" x14ac:dyDescent="0.25">
      <c r="A24" t="s">
        <v>93</v>
      </c>
      <c r="B24" t="s">
        <v>94</v>
      </c>
      <c r="C24" t="s">
        <v>64</v>
      </c>
      <c r="D24" t="s">
        <v>42</v>
      </c>
      <c r="E24" t="s">
        <v>17</v>
      </c>
      <c r="F24">
        <v>36</v>
      </c>
      <c r="G24">
        <v>47825360</v>
      </c>
      <c r="H24">
        <v>0</v>
      </c>
      <c r="I24" t="s">
        <v>18</v>
      </c>
      <c r="J24" t="s">
        <v>38</v>
      </c>
      <c r="K24" t="s">
        <v>20</v>
      </c>
      <c r="L24">
        <v>12</v>
      </c>
      <c r="M24">
        <v>8.52</v>
      </c>
    </row>
    <row r="25" spans="1:13" x14ac:dyDescent="0.25">
      <c r="A25" t="s">
        <v>95</v>
      </c>
      <c r="B25" t="s">
        <v>96</v>
      </c>
      <c r="C25" t="s">
        <v>77</v>
      </c>
      <c r="D25" t="s">
        <v>31</v>
      </c>
      <c r="E25" t="s">
        <v>25</v>
      </c>
      <c r="F25">
        <v>35</v>
      </c>
      <c r="G25">
        <v>38104390</v>
      </c>
      <c r="H25">
        <v>35241691</v>
      </c>
      <c r="I25" t="s">
        <v>33</v>
      </c>
      <c r="J25" t="s">
        <v>34</v>
      </c>
      <c r="K25" t="s">
        <v>44</v>
      </c>
      <c r="L25">
        <v>9.07</v>
      </c>
      <c r="M25">
        <v>7.49</v>
      </c>
    </row>
    <row r="26" spans="1:13" x14ac:dyDescent="0.25">
      <c r="A26" t="s">
        <v>97</v>
      </c>
      <c r="B26" t="s">
        <v>98</v>
      </c>
      <c r="C26" t="s">
        <v>77</v>
      </c>
      <c r="D26" t="s">
        <v>31</v>
      </c>
      <c r="E26" t="s">
        <v>43</v>
      </c>
      <c r="F26">
        <v>5</v>
      </c>
      <c r="H26">
        <v>84955125</v>
      </c>
      <c r="I26" t="s">
        <v>26</v>
      </c>
      <c r="J26" t="s">
        <v>38</v>
      </c>
      <c r="K26" t="s">
        <v>44</v>
      </c>
      <c r="L26">
        <v>9.07</v>
      </c>
      <c r="M26">
        <v>7.49</v>
      </c>
    </row>
    <row r="27" spans="1:13" x14ac:dyDescent="0.25">
      <c r="A27" t="s">
        <v>99</v>
      </c>
      <c r="B27" t="s">
        <v>100</v>
      </c>
      <c r="C27" t="s">
        <v>67</v>
      </c>
      <c r="D27" t="s">
        <v>68</v>
      </c>
      <c r="E27" t="s">
        <v>17</v>
      </c>
      <c r="F27">
        <v>39</v>
      </c>
      <c r="G27">
        <v>96870496</v>
      </c>
      <c r="H27">
        <v>0</v>
      </c>
      <c r="I27" t="s">
        <v>33</v>
      </c>
      <c r="J27" t="s">
        <v>19</v>
      </c>
      <c r="K27" t="s">
        <v>44</v>
      </c>
      <c r="L27">
        <v>11.83</v>
      </c>
      <c r="M27">
        <v>13.15</v>
      </c>
    </row>
    <row r="28" spans="1:13" x14ac:dyDescent="0.25">
      <c r="A28" t="s">
        <v>101</v>
      </c>
      <c r="B28" t="s">
        <v>102</v>
      </c>
      <c r="C28" t="s">
        <v>87</v>
      </c>
      <c r="D28" t="s">
        <v>61</v>
      </c>
      <c r="E28" t="s">
        <v>57</v>
      </c>
      <c r="F28">
        <v>1</v>
      </c>
      <c r="H28">
        <v>30646944</v>
      </c>
      <c r="I28" t="s">
        <v>33</v>
      </c>
      <c r="J28" t="s">
        <v>34</v>
      </c>
      <c r="K28" t="s">
        <v>20</v>
      </c>
      <c r="L28">
        <v>6.52</v>
      </c>
      <c r="M28">
        <v>3.37</v>
      </c>
    </row>
    <row r="29" spans="1:13" x14ac:dyDescent="0.25">
      <c r="A29" t="s">
        <v>103</v>
      </c>
      <c r="B29" t="s">
        <v>104</v>
      </c>
      <c r="C29" t="s">
        <v>72</v>
      </c>
      <c r="D29" t="s">
        <v>61</v>
      </c>
      <c r="E29" t="s">
        <v>25</v>
      </c>
      <c r="F29">
        <v>20</v>
      </c>
      <c r="G29">
        <v>65684623</v>
      </c>
      <c r="I29" t="s">
        <v>33</v>
      </c>
      <c r="J29" t="s">
        <v>34</v>
      </c>
      <c r="K29" t="s">
        <v>20</v>
      </c>
      <c r="L29">
        <v>6.9</v>
      </c>
      <c r="M29">
        <v>3.3</v>
      </c>
    </row>
    <row r="30" spans="1:13" x14ac:dyDescent="0.25">
      <c r="A30" t="s">
        <v>105</v>
      </c>
      <c r="B30" t="s">
        <v>106</v>
      </c>
      <c r="C30" t="s">
        <v>30</v>
      </c>
      <c r="D30" t="s">
        <v>31</v>
      </c>
      <c r="E30" t="s">
        <v>43</v>
      </c>
      <c r="F30">
        <v>8</v>
      </c>
      <c r="G30">
        <v>52950578</v>
      </c>
      <c r="H30">
        <v>61257860</v>
      </c>
      <c r="I30" t="s">
        <v>33</v>
      </c>
      <c r="J30" t="s">
        <v>34</v>
      </c>
      <c r="K30" t="s">
        <v>44</v>
      </c>
      <c r="L30">
        <v>7.73</v>
      </c>
      <c r="M30">
        <v>8.5399999999999991</v>
      </c>
    </row>
    <row r="31" spans="1:13" x14ac:dyDescent="0.25">
      <c r="A31" t="s">
        <v>107</v>
      </c>
      <c r="B31" t="s">
        <v>108</v>
      </c>
      <c r="C31" t="s">
        <v>15</v>
      </c>
      <c r="D31" t="s">
        <v>16</v>
      </c>
      <c r="E31" t="s">
        <v>49</v>
      </c>
      <c r="F31">
        <v>20</v>
      </c>
      <c r="I31" t="s">
        <v>33</v>
      </c>
      <c r="J31" t="s">
        <v>34</v>
      </c>
      <c r="K31" t="s">
        <v>44</v>
      </c>
      <c r="L31">
        <v>6.21</v>
      </c>
      <c r="M31">
        <v>7.07</v>
      </c>
    </row>
    <row r="32" spans="1:13" x14ac:dyDescent="0.25">
      <c r="A32" t="s">
        <v>109</v>
      </c>
      <c r="B32" t="s">
        <v>110</v>
      </c>
      <c r="C32" t="s">
        <v>60</v>
      </c>
      <c r="D32" t="s">
        <v>61</v>
      </c>
      <c r="E32" t="s">
        <v>32</v>
      </c>
      <c r="F32">
        <v>26</v>
      </c>
      <c r="G32">
        <v>42890213</v>
      </c>
      <c r="I32" t="s">
        <v>33</v>
      </c>
      <c r="J32" t="s">
        <v>34</v>
      </c>
      <c r="K32" t="s">
        <v>20</v>
      </c>
      <c r="L32">
        <v>7.38</v>
      </c>
      <c r="M32">
        <v>3.93</v>
      </c>
    </row>
    <row r="33" spans="1:13" x14ac:dyDescent="0.25">
      <c r="A33" t="s">
        <v>111</v>
      </c>
      <c r="B33" t="s">
        <v>112</v>
      </c>
      <c r="C33" t="s">
        <v>72</v>
      </c>
      <c r="D33" t="s">
        <v>61</v>
      </c>
      <c r="E33" t="s">
        <v>17</v>
      </c>
      <c r="F33">
        <v>25</v>
      </c>
      <c r="G33">
        <v>125713988</v>
      </c>
      <c r="I33" t="s">
        <v>33</v>
      </c>
      <c r="J33" t="s">
        <v>19</v>
      </c>
      <c r="K33" t="s">
        <v>44</v>
      </c>
      <c r="L33">
        <v>6.9</v>
      </c>
      <c r="M33">
        <v>3.3</v>
      </c>
    </row>
    <row r="34" spans="1:13" x14ac:dyDescent="0.25">
      <c r="A34" t="s">
        <v>113</v>
      </c>
      <c r="B34" t="s">
        <v>114</v>
      </c>
      <c r="C34" t="s">
        <v>41</v>
      </c>
      <c r="D34" t="s">
        <v>42</v>
      </c>
      <c r="E34" t="s">
        <v>25</v>
      </c>
      <c r="F34">
        <v>20</v>
      </c>
      <c r="H34">
        <v>0</v>
      </c>
      <c r="I34" t="s">
        <v>33</v>
      </c>
      <c r="J34" t="s">
        <v>19</v>
      </c>
      <c r="K34" t="s">
        <v>20</v>
      </c>
      <c r="L34">
        <v>10.52</v>
      </c>
      <c r="M34">
        <v>7.44</v>
      </c>
    </row>
    <row r="35" spans="1:13" x14ac:dyDescent="0.25">
      <c r="A35" t="s">
        <v>115</v>
      </c>
      <c r="B35" t="s">
        <v>116</v>
      </c>
      <c r="C35" t="s">
        <v>64</v>
      </c>
      <c r="D35" t="s">
        <v>42</v>
      </c>
      <c r="E35" t="s">
        <v>32</v>
      </c>
      <c r="F35">
        <v>13</v>
      </c>
      <c r="G35">
        <v>126039628</v>
      </c>
      <c r="H35">
        <v>0</v>
      </c>
      <c r="I35" t="s">
        <v>90</v>
      </c>
      <c r="J35" t="s">
        <v>38</v>
      </c>
      <c r="K35" t="s">
        <v>20</v>
      </c>
      <c r="L35">
        <v>12</v>
      </c>
      <c r="M35">
        <v>8.52</v>
      </c>
    </row>
    <row r="36" spans="1:13" x14ac:dyDescent="0.25">
      <c r="A36" t="s">
        <v>117</v>
      </c>
      <c r="B36" t="s">
        <v>118</v>
      </c>
      <c r="C36" t="s">
        <v>64</v>
      </c>
      <c r="D36" t="s">
        <v>42</v>
      </c>
      <c r="E36" t="s">
        <v>49</v>
      </c>
      <c r="F36">
        <v>17</v>
      </c>
      <c r="H36">
        <v>74380311</v>
      </c>
      <c r="I36" t="s">
        <v>33</v>
      </c>
      <c r="J36" t="s">
        <v>38</v>
      </c>
      <c r="K36" t="s">
        <v>44</v>
      </c>
      <c r="L36">
        <v>12</v>
      </c>
      <c r="M36">
        <v>8.52</v>
      </c>
    </row>
    <row r="37" spans="1:13" x14ac:dyDescent="0.25">
      <c r="A37" t="s">
        <v>119</v>
      </c>
      <c r="B37" t="s">
        <v>120</v>
      </c>
      <c r="C37" t="s">
        <v>41</v>
      </c>
      <c r="D37" t="s">
        <v>42</v>
      </c>
      <c r="E37" t="s">
        <v>57</v>
      </c>
      <c r="F37">
        <v>36</v>
      </c>
      <c r="I37" t="s">
        <v>33</v>
      </c>
      <c r="J37" t="s">
        <v>19</v>
      </c>
      <c r="K37" t="s">
        <v>44</v>
      </c>
      <c r="L37">
        <v>10.52</v>
      </c>
      <c r="M37">
        <v>7.44</v>
      </c>
    </row>
    <row r="38" spans="1:13" x14ac:dyDescent="0.25">
      <c r="A38" t="s">
        <v>121</v>
      </c>
      <c r="B38" t="s">
        <v>122</v>
      </c>
      <c r="C38" t="s">
        <v>77</v>
      </c>
      <c r="D38" t="s">
        <v>31</v>
      </c>
      <c r="E38" t="s">
        <v>69</v>
      </c>
      <c r="F38">
        <v>8</v>
      </c>
      <c r="H38">
        <v>52917439</v>
      </c>
      <c r="I38" t="s">
        <v>90</v>
      </c>
      <c r="J38" t="s">
        <v>38</v>
      </c>
      <c r="K38" t="s">
        <v>44</v>
      </c>
      <c r="L38">
        <v>9.07</v>
      </c>
      <c r="M38">
        <v>7.49</v>
      </c>
    </row>
    <row r="39" spans="1:13" x14ac:dyDescent="0.25">
      <c r="A39" t="s">
        <v>123</v>
      </c>
      <c r="B39" t="s">
        <v>124</v>
      </c>
      <c r="C39" t="s">
        <v>52</v>
      </c>
      <c r="D39" t="s">
        <v>42</v>
      </c>
      <c r="E39" t="s">
        <v>49</v>
      </c>
      <c r="F39">
        <v>22</v>
      </c>
      <c r="G39">
        <v>7100511</v>
      </c>
      <c r="H39">
        <v>37925306</v>
      </c>
      <c r="I39" t="s">
        <v>26</v>
      </c>
      <c r="J39" t="s">
        <v>34</v>
      </c>
      <c r="K39" t="s">
        <v>20</v>
      </c>
      <c r="L39">
        <v>12.99</v>
      </c>
      <c r="M39">
        <v>7.6</v>
      </c>
    </row>
    <row r="40" spans="1:13" x14ac:dyDescent="0.25">
      <c r="A40" t="s">
        <v>125</v>
      </c>
      <c r="B40" t="s">
        <v>126</v>
      </c>
      <c r="C40" t="s">
        <v>67</v>
      </c>
      <c r="D40" t="s">
        <v>68</v>
      </c>
      <c r="E40" t="s">
        <v>57</v>
      </c>
      <c r="F40">
        <v>10</v>
      </c>
      <c r="H40">
        <v>26936358</v>
      </c>
      <c r="I40" t="s">
        <v>90</v>
      </c>
      <c r="J40" t="s">
        <v>27</v>
      </c>
      <c r="K40" t="s">
        <v>44</v>
      </c>
      <c r="L40">
        <v>11.83</v>
      </c>
      <c r="M40">
        <v>13.15</v>
      </c>
    </row>
    <row r="41" spans="1:13" x14ac:dyDescent="0.25">
      <c r="A41" t="s">
        <v>127</v>
      </c>
      <c r="B41" t="s">
        <v>128</v>
      </c>
      <c r="C41" t="s">
        <v>41</v>
      </c>
      <c r="D41" t="s">
        <v>42</v>
      </c>
      <c r="E41" t="s">
        <v>25</v>
      </c>
      <c r="F41">
        <v>14</v>
      </c>
      <c r="G41">
        <v>34358871</v>
      </c>
      <c r="I41" t="s">
        <v>26</v>
      </c>
      <c r="J41" t="s">
        <v>27</v>
      </c>
      <c r="K41" t="s">
        <v>20</v>
      </c>
      <c r="L41">
        <v>10.52</v>
      </c>
      <c r="M41">
        <v>7.44</v>
      </c>
    </row>
    <row r="42" spans="1:13" x14ac:dyDescent="0.25">
      <c r="A42" t="s">
        <v>129</v>
      </c>
      <c r="B42" t="s">
        <v>130</v>
      </c>
      <c r="C42" t="s">
        <v>15</v>
      </c>
      <c r="D42" t="s">
        <v>16</v>
      </c>
      <c r="E42" t="s">
        <v>43</v>
      </c>
      <c r="F42">
        <v>17</v>
      </c>
      <c r="G42">
        <v>30087558</v>
      </c>
      <c r="I42" t="s">
        <v>18</v>
      </c>
      <c r="J42" t="s">
        <v>27</v>
      </c>
      <c r="K42" t="s">
        <v>20</v>
      </c>
      <c r="L42">
        <v>6.21</v>
      </c>
      <c r="M42">
        <v>7.07</v>
      </c>
    </row>
    <row r="43" spans="1:13" x14ac:dyDescent="0.25">
      <c r="A43" t="s">
        <v>131</v>
      </c>
      <c r="B43" t="s">
        <v>56</v>
      </c>
      <c r="C43" t="s">
        <v>87</v>
      </c>
      <c r="D43" t="s">
        <v>61</v>
      </c>
      <c r="E43" t="s">
        <v>25</v>
      </c>
      <c r="F43">
        <v>34</v>
      </c>
      <c r="H43">
        <v>0</v>
      </c>
      <c r="I43" t="s">
        <v>18</v>
      </c>
      <c r="J43" t="s">
        <v>27</v>
      </c>
      <c r="K43" t="s">
        <v>44</v>
      </c>
      <c r="L43">
        <v>6.52</v>
      </c>
      <c r="M43">
        <v>3.37</v>
      </c>
    </row>
    <row r="44" spans="1:13" x14ac:dyDescent="0.25">
      <c r="A44" t="s">
        <v>132</v>
      </c>
      <c r="B44" t="s">
        <v>133</v>
      </c>
      <c r="C44" t="s">
        <v>84</v>
      </c>
      <c r="D44" t="s">
        <v>42</v>
      </c>
      <c r="E44" t="s">
        <v>25</v>
      </c>
      <c r="F44">
        <v>5</v>
      </c>
      <c r="I44" t="s">
        <v>26</v>
      </c>
      <c r="J44" t="s">
        <v>19</v>
      </c>
      <c r="K44" t="s">
        <v>20</v>
      </c>
      <c r="L44">
        <v>12.17</v>
      </c>
      <c r="M44">
        <v>6.66</v>
      </c>
    </row>
    <row r="45" spans="1:13" x14ac:dyDescent="0.25">
      <c r="A45" t="s">
        <v>134</v>
      </c>
      <c r="B45" t="s">
        <v>135</v>
      </c>
      <c r="C45" t="s">
        <v>37</v>
      </c>
      <c r="D45" t="s">
        <v>24</v>
      </c>
      <c r="E45" t="s">
        <v>43</v>
      </c>
      <c r="F45">
        <v>39</v>
      </c>
      <c r="G45">
        <v>88459239</v>
      </c>
      <c r="H45">
        <v>80862913</v>
      </c>
      <c r="I45" t="s">
        <v>18</v>
      </c>
      <c r="J45" t="s">
        <v>27</v>
      </c>
      <c r="K45" t="s">
        <v>44</v>
      </c>
      <c r="L45">
        <v>4.75</v>
      </c>
      <c r="M45">
        <v>7.01</v>
      </c>
    </row>
    <row r="46" spans="1:13" x14ac:dyDescent="0.25">
      <c r="A46" t="s">
        <v>136</v>
      </c>
      <c r="B46" t="s">
        <v>137</v>
      </c>
      <c r="C46" t="s">
        <v>37</v>
      </c>
      <c r="D46" t="s">
        <v>24</v>
      </c>
      <c r="E46" t="s">
        <v>57</v>
      </c>
      <c r="F46">
        <v>21</v>
      </c>
      <c r="H46">
        <v>0</v>
      </c>
      <c r="I46" t="s">
        <v>33</v>
      </c>
      <c r="J46" t="s">
        <v>34</v>
      </c>
      <c r="K46" t="s">
        <v>44</v>
      </c>
      <c r="L46">
        <v>4.75</v>
      </c>
      <c r="M46">
        <v>7.01</v>
      </c>
    </row>
    <row r="47" spans="1:13" x14ac:dyDescent="0.25">
      <c r="A47" t="s">
        <v>138</v>
      </c>
      <c r="B47" t="s">
        <v>139</v>
      </c>
      <c r="C47" t="s">
        <v>72</v>
      </c>
      <c r="D47" t="s">
        <v>61</v>
      </c>
      <c r="E47" t="s">
        <v>17</v>
      </c>
      <c r="F47">
        <v>21</v>
      </c>
      <c r="H47">
        <v>33212155</v>
      </c>
      <c r="I47" t="s">
        <v>18</v>
      </c>
      <c r="J47" t="s">
        <v>19</v>
      </c>
      <c r="K47" t="s">
        <v>20</v>
      </c>
      <c r="L47">
        <v>6.9</v>
      </c>
      <c r="M47">
        <v>3.3</v>
      </c>
    </row>
    <row r="48" spans="1:13" x14ac:dyDescent="0.25">
      <c r="A48" t="s">
        <v>140</v>
      </c>
      <c r="B48" t="s">
        <v>141</v>
      </c>
      <c r="C48" t="s">
        <v>72</v>
      </c>
      <c r="D48" t="s">
        <v>61</v>
      </c>
      <c r="E48" t="s">
        <v>69</v>
      </c>
      <c r="F48">
        <v>36</v>
      </c>
      <c r="G48">
        <v>126554589</v>
      </c>
      <c r="H48">
        <v>79599340</v>
      </c>
      <c r="I48" t="s">
        <v>26</v>
      </c>
      <c r="J48" t="s">
        <v>38</v>
      </c>
      <c r="K48" t="s">
        <v>20</v>
      </c>
      <c r="L48">
        <v>6.9</v>
      </c>
      <c r="M48">
        <v>3.3</v>
      </c>
    </row>
    <row r="49" spans="1:13" x14ac:dyDescent="0.25">
      <c r="A49" t="s">
        <v>142</v>
      </c>
      <c r="B49" t="s">
        <v>143</v>
      </c>
      <c r="C49" t="s">
        <v>77</v>
      </c>
      <c r="D49" t="s">
        <v>31</v>
      </c>
      <c r="E49" t="s">
        <v>49</v>
      </c>
      <c r="F49">
        <v>36</v>
      </c>
      <c r="G49">
        <v>131654088</v>
      </c>
      <c r="H49">
        <v>0</v>
      </c>
      <c r="I49" t="s">
        <v>90</v>
      </c>
      <c r="J49" t="s">
        <v>19</v>
      </c>
      <c r="K49" t="s">
        <v>44</v>
      </c>
      <c r="L49">
        <v>9.07</v>
      </c>
      <c r="M49">
        <v>7.49</v>
      </c>
    </row>
    <row r="50" spans="1:13" x14ac:dyDescent="0.25">
      <c r="A50" t="s">
        <v>144</v>
      </c>
      <c r="B50" t="s">
        <v>145</v>
      </c>
      <c r="C50" t="s">
        <v>87</v>
      </c>
      <c r="D50" t="s">
        <v>61</v>
      </c>
      <c r="E50" t="s">
        <v>32</v>
      </c>
      <c r="F50">
        <v>23</v>
      </c>
      <c r="I50" t="s">
        <v>33</v>
      </c>
      <c r="J50" t="s">
        <v>19</v>
      </c>
      <c r="K50" t="s">
        <v>44</v>
      </c>
      <c r="L50">
        <v>6.52</v>
      </c>
      <c r="M50">
        <v>3.37</v>
      </c>
    </row>
    <row r="51" spans="1:13" x14ac:dyDescent="0.25">
      <c r="A51" t="s">
        <v>146</v>
      </c>
      <c r="B51" t="s">
        <v>147</v>
      </c>
      <c r="C51" t="s">
        <v>15</v>
      </c>
      <c r="D51" t="s">
        <v>16</v>
      </c>
      <c r="E51" t="s">
        <v>57</v>
      </c>
      <c r="F51">
        <v>2</v>
      </c>
      <c r="H51">
        <v>0</v>
      </c>
      <c r="I51" t="s">
        <v>33</v>
      </c>
      <c r="J51" t="s">
        <v>19</v>
      </c>
      <c r="K51" t="s">
        <v>20</v>
      </c>
      <c r="L51">
        <v>6.21</v>
      </c>
      <c r="M51">
        <v>7.07</v>
      </c>
    </row>
    <row r="52" spans="1:13" x14ac:dyDescent="0.25">
      <c r="A52" t="s">
        <v>148</v>
      </c>
      <c r="B52" t="s">
        <v>149</v>
      </c>
      <c r="C52" t="s">
        <v>77</v>
      </c>
      <c r="D52" t="s">
        <v>31</v>
      </c>
      <c r="E52" t="s">
        <v>57</v>
      </c>
      <c r="F52">
        <v>17</v>
      </c>
      <c r="G52">
        <v>39753311</v>
      </c>
      <c r="H52">
        <v>19811174</v>
      </c>
      <c r="I52" t="s">
        <v>90</v>
      </c>
      <c r="J52" t="s">
        <v>19</v>
      </c>
      <c r="K52" t="s">
        <v>44</v>
      </c>
      <c r="L52">
        <v>9.07</v>
      </c>
      <c r="M52">
        <v>7.49</v>
      </c>
    </row>
    <row r="53" spans="1:13" x14ac:dyDescent="0.25">
      <c r="A53" t="s">
        <v>150</v>
      </c>
      <c r="B53" t="s">
        <v>151</v>
      </c>
      <c r="C53" t="s">
        <v>84</v>
      </c>
      <c r="D53" t="s">
        <v>42</v>
      </c>
      <c r="E53" t="s">
        <v>17</v>
      </c>
      <c r="F53">
        <v>37</v>
      </c>
      <c r="G53">
        <v>36546178</v>
      </c>
      <c r="I53" t="s">
        <v>18</v>
      </c>
      <c r="J53" t="s">
        <v>27</v>
      </c>
      <c r="K53" t="s">
        <v>44</v>
      </c>
      <c r="L53">
        <v>12.17</v>
      </c>
      <c r="M53">
        <v>6.66</v>
      </c>
    </row>
    <row r="54" spans="1:13" x14ac:dyDescent="0.25">
      <c r="A54" t="s">
        <v>152</v>
      </c>
      <c r="B54" t="s">
        <v>153</v>
      </c>
      <c r="C54" t="s">
        <v>77</v>
      </c>
      <c r="D54" t="s">
        <v>31</v>
      </c>
      <c r="E54" t="s">
        <v>57</v>
      </c>
      <c r="F54">
        <v>32</v>
      </c>
      <c r="H54">
        <v>0</v>
      </c>
      <c r="I54" t="s">
        <v>18</v>
      </c>
      <c r="J54" t="s">
        <v>19</v>
      </c>
      <c r="K54" t="s">
        <v>20</v>
      </c>
      <c r="L54">
        <v>9.07</v>
      </c>
      <c r="M54">
        <v>7.49</v>
      </c>
    </row>
    <row r="55" spans="1:13" x14ac:dyDescent="0.25">
      <c r="A55" t="s">
        <v>154</v>
      </c>
      <c r="B55" t="s">
        <v>155</v>
      </c>
      <c r="C55" t="s">
        <v>23</v>
      </c>
      <c r="D55" t="s">
        <v>24</v>
      </c>
      <c r="E55" t="s">
        <v>43</v>
      </c>
      <c r="F55">
        <v>2</v>
      </c>
      <c r="H55">
        <v>0</v>
      </c>
      <c r="I55" t="s">
        <v>18</v>
      </c>
      <c r="J55" t="s">
        <v>27</v>
      </c>
      <c r="K55" t="s">
        <v>44</v>
      </c>
      <c r="L55">
        <v>5.7</v>
      </c>
      <c r="M55">
        <v>5.9</v>
      </c>
    </row>
    <row r="56" spans="1:13" x14ac:dyDescent="0.25">
      <c r="A56" t="s">
        <v>156</v>
      </c>
      <c r="B56" t="s">
        <v>157</v>
      </c>
      <c r="C56" t="s">
        <v>84</v>
      </c>
      <c r="D56" t="s">
        <v>42</v>
      </c>
      <c r="E56" t="s">
        <v>69</v>
      </c>
      <c r="F56">
        <v>27</v>
      </c>
      <c r="G56">
        <v>121244091</v>
      </c>
      <c r="H56">
        <v>0</v>
      </c>
      <c r="I56" t="s">
        <v>18</v>
      </c>
      <c r="J56" t="s">
        <v>27</v>
      </c>
      <c r="K56" t="s">
        <v>20</v>
      </c>
      <c r="L56">
        <v>12.17</v>
      </c>
      <c r="M56">
        <v>6.66</v>
      </c>
    </row>
    <row r="57" spans="1:13" x14ac:dyDescent="0.25">
      <c r="A57" t="s">
        <v>158</v>
      </c>
      <c r="B57" t="s">
        <v>159</v>
      </c>
      <c r="C57" t="s">
        <v>84</v>
      </c>
      <c r="D57" t="s">
        <v>42</v>
      </c>
      <c r="E57" t="s">
        <v>25</v>
      </c>
      <c r="F57">
        <v>35</v>
      </c>
      <c r="H57">
        <v>80424974</v>
      </c>
      <c r="I57" t="s">
        <v>90</v>
      </c>
      <c r="J57" t="s">
        <v>34</v>
      </c>
      <c r="K57" t="s">
        <v>20</v>
      </c>
      <c r="L57">
        <v>12.17</v>
      </c>
      <c r="M57">
        <v>6.66</v>
      </c>
    </row>
    <row r="58" spans="1:13" x14ac:dyDescent="0.25">
      <c r="A58" t="s">
        <v>160</v>
      </c>
      <c r="B58" t="s">
        <v>161</v>
      </c>
      <c r="C58" t="s">
        <v>77</v>
      </c>
      <c r="D58" t="s">
        <v>31</v>
      </c>
      <c r="E58" t="s">
        <v>32</v>
      </c>
      <c r="F58">
        <v>39</v>
      </c>
      <c r="G58">
        <v>116143465</v>
      </c>
      <c r="H58">
        <v>0</v>
      </c>
      <c r="I58" t="s">
        <v>26</v>
      </c>
      <c r="J58" t="s">
        <v>34</v>
      </c>
      <c r="K58" t="s">
        <v>20</v>
      </c>
      <c r="L58">
        <v>9.07</v>
      </c>
      <c r="M58">
        <v>7.49</v>
      </c>
    </row>
    <row r="59" spans="1:13" x14ac:dyDescent="0.25">
      <c r="A59" t="s">
        <v>162</v>
      </c>
      <c r="B59" t="s">
        <v>163</v>
      </c>
      <c r="C59" t="s">
        <v>41</v>
      </c>
      <c r="D59" t="s">
        <v>42</v>
      </c>
      <c r="E59" t="s">
        <v>69</v>
      </c>
      <c r="F59">
        <v>5</v>
      </c>
      <c r="G59">
        <v>82813467</v>
      </c>
      <c r="I59" t="s">
        <v>18</v>
      </c>
      <c r="J59" t="s">
        <v>38</v>
      </c>
      <c r="K59" t="s">
        <v>44</v>
      </c>
      <c r="L59">
        <v>10.52</v>
      </c>
      <c r="M59">
        <v>7.44</v>
      </c>
    </row>
    <row r="60" spans="1:13" x14ac:dyDescent="0.25">
      <c r="A60" t="s">
        <v>164</v>
      </c>
      <c r="B60" t="s">
        <v>165</v>
      </c>
      <c r="C60" t="s">
        <v>72</v>
      </c>
      <c r="D60" t="s">
        <v>61</v>
      </c>
      <c r="E60" t="s">
        <v>69</v>
      </c>
      <c r="F60">
        <v>9</v>
      </c>
      <c r="G60">
        <v>93312082</v>
      </c>
      <c r="I60" t="s">
        <v>90</v>
      </c>
      <c r="J60" t="s">
        <v>38</v>
      </c>
      <c r="K60" t="s">
        <v>44</v>
      </c>
      <c r="L60">
        <v>6.9</v>
      </c>
      <c r="M60">
        <v>3.3</v>
      </c>
    </row>
    <row r="61" spans="1:13" x14ac:dyDescent="0.25">
      <c r="A61" t="s">
        <v>166</v>
      </c>
      <c r="B61" t="s">
        <v>167</v>
      </c>
      <c r="C61" t="s">
        <v>84</v>
      </c>
      <c r="D61" t="s">
        <v>42</v>
      </c>
      <c r="E61" t="s">
        <v>43</v>
      </c>
      <c r="F61">
        <v>5</v>
      </c>
      <c r="H61">
        <v>45646850</v>
      </c>
      <c r="I61" t="s">
        <v>26</v>
      </c>
      <c r="J61" t="s">
        <v>34</v>
      </c>
      <c r="K61" t="s">
        <v>44</v>
      </c>
      <c r="L61">
        <v>12.17</v>
      </c>
      <c r="M61">
        <v>6.66</v>
      </c>
    </row>
    <row r="62" spans="1:13" x14ac:dyDescent="0.25">
      <c r="A62" t="s">
        <v>168</v>
      </c>
      <c r="B62" t="s">
        <v>169</v>
      </c>
      <c r="C62" t="s">
        <v>30</v>
      </c>
      <c r="D62" t="s">
        <v>31</v>
      </c>
      <c r="E62" t="s">
        <v>43</v>
      </c>
      <c r="F62">
        <v>4</v>
      </c>
      <c r="G62">
        <v>63731531</v>
      </c>
      <c r="H62">
        <v>83260677</v>
      </c>
      <c r="I62" t="s">
        <v>26</v>
      </c>
      <c r="J62" t="s">
        <v>19</v>
      </c>
      <c r="K62" t="s">
        <v>20</v>
      </c>
      <c r="L62">
        <v>7.73</v>
      </c>
      <c r="M62">
        <v>8.5399999999999991</v>
      </c>
    </row>
    <row r="63" spans="1:13" x14ac:dyDescent="0.25">
      <c r="A63" t="s">
        <v>170</v>
      </c>
      <c r="B63" t="s">
        <v>171</v>
      </c>
      <c r="C63" t="s">
        <v>77</v>
      </c>
      <c r="D63" t="s">
        <v>31</v>
      </c>
      <c r="E63" t="s">
        <v>49</v>
      </c>
      <c r="F63">
        <v>14</v>
      </c>
      <c r="G63">
        <v>28536684</v>
      </c>
      <c r="H63">
        <v>0</v>
      </c>
      <c r="I63" t="s">
        <v>33</v>
      </c>
      <c r="J63" t="s">
        <v>34</v>
      </c>
      <c r="K63" t="s">
        <v>20</v>
      </c>
      <c r="L63">
        <v>9.07</v>
      </c>
      <c r="M63">
        <v>7.49</v>
      </c>
    </row>
    <row r="64" spans="1:13" x14ac:dyDescent="0.25">
      <c r="A64" t="s">
        <v>172</v>
      </c>
      <c r="B64" t="s">
        <v>173</v>
      </c>
      <c r="C64" t="s">
        <v>52</v>
      </c>
      <c r="D64" t="s">
        <v>42</v>
      </c>
      <c r="E64" t="s">
        <v>25</v>
      </c>
      <c r="F64">
        <v>13</v>
      </c>
      <c r="H64">
        <v>0</v>
      </c>
      <c r="I64" t="s">
        <v>26</v>
      </c>
      <c r="J64" t="s">
        <v>34</v>
      </c>
      <c r="K64" t="s">
        <v>44</v>
      </c>
      <c r="L64">
        <v>12.99</v>
      </c>
      <c r="M64">
        <v>7.6</v>
      </c>
    </row>
    <row r="65" spans="1:13" x14ac:dyDescent="0.25">
      <c r="A65" t="s">
        <v>174</v>
      </c>
      <c r="B65" t="s">
        <v>175</v>
      </c>
      <c r="C65" t="s">
        <v>60</v>
      </c>
      <c r="D65" t="s">
        <v>61</v>
      </c>
      <c r="E65" t="s">
        <v>32</v>
      </c>
      <c r="F65">
        <v>40</v>
      </c>
      <c r="I65" t="s">
        <v>26</v>
      </c>
      <c r="J65" t="s">
        <v>38</v>
      </c>
      <c r="K65" t="s">
        <v>20</v>
      </c>
      <c r="L65">
        <v>7.38</v>
      </c>
      <c r="M65">
        <v>3.93</v>
      </c>
    </row>
    <row r="66" spans="1:13" x14ac:dyDescent="0.25">
      <c r="A66" t="s">
        <v>176</v>
      </c>
      <c r="B66" t="s">
        <v>177</v>
      </c>
      <c r="C66" t="s">
        <v>64</v>
      </c>
      <c r="D66" t="s">
        <v>42</v>
      </c>
      <c r="E66" t="s">
        <v>57</v>
      </c>
      <c r="F66">
        <v>11</v>
      </c>
      <c r="H66">
        <v>0</v>
      </c>
      <c r="I66" t="s">
        <v>33</v>
      </c>
      <c r="J66" t="s">
        <v>19</v>
      </c>
      <c r="K66" t="s">
        <v>44</v>
      </c>
      <c r="L66">
        <v>12</v>
      </c>
      <c r="M66">
        <v>8.52</v>
      </c>
    </row>
    <row r="67" spans="1:13" x14ac:dyDescent="0.25">
      <c r="A67" t="s">
        <v>178</v>
      </c>
      <c r="B67" t="s">
        <v>179</v>
      </c>
      <c r="C67" t="s">
        <v>77</v>
      </c>
      <c r="D67" t="s">
        <v>31</v>
      </c>
      <c r="E67" t="s">
        <v>69</v>
      </c>
      <c r="F67">
        <v>6</v>
      </c>
      <c r="I67" t="s">
        <v>33</v>
      </c>
      <c r="J67" t="s">
        <v>19</v>
      </c>
      <c r="K67" t="s">
        <v>44</v>
      </c>
      <c r="L67">
        <v>9.07</v>
      </c>
      <c r="M67">
        <v>7.49</v>
      </c>
    </row>
    <row r="68" spans="1:13" x14ac:dyDescent="0.25">
      <c r="A68" t="s">
        <v>180</v>
      </c>
      <c r="B68" t="s">
        <v>139</v>
      </c>
      <c r="C68" t="s">
        <v>77</v>
      </c>
      <c r="D68" t="s">
        <v>31</v>
      </c>
      <c r="E68" t="s">
        <v>43</v>
      </c>
      <c r="F68">
        <v>16</v>
      </c>
      <c r="G68">
        <v>10211622</v>
      </c>
      <c r="H68">
        <v>0</v>
      </c>
      <c r="I68" t="s">
        <v>90</v>
      </c>
      <c r="J68" t="s">
        <v>27</v>
      </c>
      <c r="K68" t="s">
        <v>44</v>
      </c>
      <c r="L68">
        <v>9.07</v>
      </c>
      <c r="M68">
        <v>7.49</v>
      </c>
    </row>
    <row r="69" spans="1:13" x14ac:dyDescent="0.25">
      <c r="A69" t="s">
        <v>181</v>
      </c>
      <c r="B69" t="s">
        <v>182</v>
      </c>
      <c r="C69" t="s">
        <v>41</v>
      </c>
      <c r="D69" t="s">
        <v>42</v>
      </c>
      <c r="E69" t="s">
        <v>57</v>
      </c>
      <c r="F69">
        <v>36</v>
      </c>
      <c r="H69">
        <v>0</v>
      </c>
      <c r="I69" t="s">
        <v>90</v>
      </c>
      <c r="J69" t="s">
        <v>34</v>
      </c>
      <c r="K69" t="s">
        <v>44</v>
      </c>
      <c r="L69">
        <v>10.52</v>
      </c>
      <c r="M69">
        <v>7.44</v>
      </c>
    </row>
    <row r="70" spans="1:13" x14ac:dyDescent="0.25">
      <c r="A70" t="s">
        <v>183</v>
      </c>
      <c r="B70" t="s">
        <v>184</v>
      </c>
      <c r="C70" t="s">
        <v>60</v>
      </c>
      <c r="D70" t="s">
        <v>61</v>
      </c>
      <c r="E70" t="s">
        <v>69</v>
      </c>
      <c r="F70">
        <v>38</v>
      </c>
      <c r="G70">
        <v>60325495</v>
      </c>
      <c r="I70" t="s">
        <v>18</v>
      </c>
      <c r="J70" t="s">
        <v>34</v>
      </c>
      <c r="K70" t="s">
        <v>44</v>
      </c>
      <c r="L70">
        <v>7.38</v>
      </c>
      <c r="M70">
        <v>3.93</v>
      </c>
    </row>
    <row r="71" spans="1:13" x14ac:dyDescent="0.25">
      <c r="A71" t="s">
        <v>185</v>
      </c>
      <c r="B71" t="s">
        <v>186</v>
      </c>
      <c r="C71" t="s">
        <v>72</v>
      </c>
      <c r="D71" t="s">
        <v>61</v>
      </c>
      <c r="E71" t="s">
        <v>57</v>
      </c>
      <c r="F71">
        <v>25</v>
      </c>
      <c r="I71" t="s">
        <v>90</v>
      </c>
      <c r="J71" t="s">
        <v>34</v>
      </c>
      <c r="K71" t="s">
        <v>44</v>
      </c>
      <c r="L71">
        <v>6.9</v>
      </c>
      <c r="M71">
        <v>3.3</v>
      </c>
    </row>
    <row r="72" spans="1:13" x14ac:dyDescent="0.25">
      <c r="A72" t="s">
        <v>187</v>
      </c>
      <c r="B72" t="s">
        <v>188</v>
      </c>
      <c r="C72" t="s">
        <v>84</v>
      </c>
      <c r="D72" t="s">
        <v>42</v>
      </c>
      <c r="E72" t="s">
        <v>43</v>
      </c>
      <c r="F72">
        <v>3</v>
      </c>
      <c r="G72">
        <v>16813928</v>
      </c>
      <c r="H72">
        <v>0</v>
      </c>
      <c r="I72" t="s">
        <v>33</v>
      </c>
      <c r="J72" t="s">
        <v>38</v>
      </c>
      <c r="K72" t="s">
        <v>20</v>
      </c>
      <c r="L72">
        <v>12.17</v>
      </c>
      <c r="M72">
        <v>6.66</v>
      </c>
    </row>
    <row r="73" spans="1:13" x14ac:dyDescent="0.25">
      <c r="A73" t="s">
        <v>189</v>
      </c>
      <c r="B73" t="s">
        <v>190</v>
      </c>
      <c r="C73" t="s">
        <v>87</v>
      </c>
      <c r="D73" t="s">
        <v>61</v>
      </c>
      <c r="E73" t="s">
        <v>25</v>
      </c>
      <c r="F73">
        <v>12</v>
      </c>
      <c r="G73">
        <v>40512888</v>
      </c>
      <c r="H73">
        <v>0</v>
      </c>
      <c r="I73" t="s">
        <v>26</v>
      </c>
      <c r="J73" t="s">
        <v>27</v>
      </c>
      <c r="K73" t="s">
        <v>44</v>
      </c>
      <c r="L73">
        <v>6.52</v>
      </c>
      <c r="M73">
        <v>3.37</v>
      </c>
    </row>
    <row r="74" spans="1:13" x14ac:dyDescent="0.25">
      <c r="A74" t="s">
        <v>191</v>
      </c>
      <c r="B74" t="s">
        <v>192</v>
      </c>
      <c r="C74" t="s">
        <v>77</v>
      </c>
      <c r="D74" t="s">
        <v>31</v>
      </c>
      <c r="E74" t="s">
        <v>57</v>
      </c>
      <c r="F74">
        <v>15</v>
      </c>
      <c r="H74">
        <v>48232000</v>
      </c>
      <c r="I74" t="s">
        <v>18</v>
      </c>
      <c r="J74" t="s">
        <v>34</v>
      </c>
      <c r="K74" t="s">
        <v>44</v>
      </c>
      <c r="L74">
        <v>9.07</v>
      </c>
      <c r="M74">
        <v>7.49</v>
      </c>
    </row>
    <row r="75" spans="1:13" x14ac:dyDescent="0.25">
      <c r="A75" t="s">
        <v>193</v>
      </c>
      <c r="B75" t="s">
        <v>194</v>
      </c>
      <c r="C75" t="s">
        <v>67</v>
      </c>
      <c r="D75" t="s">
        <v>68</v>
      </c>
      <c r="E75" t="s">
        <v>43</v>
      </c>
      <c r="F75">
        <v>30</v>
      </c>
      <c r="H75">
        <v>63541531</v>
      </c>
      <c r="I75" t="s">
        <v>26</v>
      </c>
      <c r="J75" t="s">
        <v>27</v>
      </c>
      <c r="K75" t="s">
        <v>20</v>
      </c>
      <c r="L75">
        <v>11.83</v>
      </c>
      <c r="M75">
        <v>13.15</v>
      </c>
    </row>
    <row r="76" spans="1:13" x14ac:dyDescent="0.25">
      <c r="A76" t="s">
        <v>195</v>
      </c>
      <c r="B76" t="s">
        <v>196</v>
      </c>
      <c r="C76" t="s">
        <v>23</v>
      </c>
      <c r="D76" t="s">
        <v>24</v>
      </c>
      <c r="E76" t="s">
        <v>69</v>
      </c>
      <c r="F76">
        <v>21</v>
      </c>
      <c r="G76">
        <v>131784158</v>
      </c>
      <c r="H76">
        <v>42881158</v>
      </c>
      <c r="I76" t="s">
        <v>18</v>
      </c>
      <c r="J76" t="s">
        <v>19</v>
      </c>
      <c r="K76" t="s">
        <v>44</v>
      </c>
      <c r="L76">
        <v>5.7</v>
      </c>
      <c r="M76">
        <v>5.9</v>
      </c>
    </row>
    <row r="77" spans="1:13" x14ac:dyDescent="0.25">
      <c r="A77" t="s">
        <v>197</v>
      </c>
      <c r="B77" t="s">
        <v>198</v>
      </c>
      <c r="C77" t="s">
        <v>60</v>
      </c>
      <c r="D77" t="s">
        <v>61</v>
      </c>
      <c r="E77" t="s">
        <v>32</v>
      </c>
      <c r="F77">
        <v>34</v>
      </c>
      <c r="H77">
        <v>0</v>
      </c>
      <c r="I77" t="s">
        <v>33</v>
      </c>
      <c r="J77" t="s">
        <v>27</v>
      </c>
      <c r="K77" t="s">
        <v>44</v>
      </c>
      <c r="L77">
        <v>7.38</v>
      </c>
      <c r="M77">
        <v>3.93</v>
      </c>
    </row>
    <row r="78" spans="1:13" x14ac:dyDescent="0.25">
      <c r="A78" t="s">
        <v>199</v>
      </c>
      <c r="B78" t="s">
        <v>102</v>
      </c>
      <c r="C78" t="s">
        <v>84</v>
      </c>
      <c r="D78" t="s">
        <v>42</v>
      </c>
      <c r="E78" t="s">
        <v>49</v>
      </c>
      <c r="F78">
        <v>28</v>
      </c>
      <c r="H78">
        <v>80341878</v>
      </c>
      <c r="I78" t="s">
        <v>18</v>
      </c>
      <c r="J78" t="s">
        <v>27</v>
      </c>
      <c r="K78" t="s">
        <v>44</v>
      </c>
      <c r="L78">
        <v>12.17</v>
      </c>
      <c r="M78">
        <v>6.66</v>
      </c>
    </row>
    <row r="79" spans="1:13" x14ac:dyDescent="0.25">
      <c r="A79" t="s">
        <v>200</v>
      </c>
      <c r="B79" t="s">
        <v>201</v>
      </c>
      <c r="C79" t="s">
        <v>87</v>
      </c>
      <c r="D79" t="s">
        <v>61</v>
      </c>
      <c r="E79" t="s">
        <v>69</v>
      </c>
      <c r="F79">
        <v>3</v>
      </c>
      <c r="G79">
        <v>28781178</v>
      </c>
      <c r="H79">
        <v>61437044</v>
      </c>
      <c r="I79" t="s">
        <v>33</v>
      </c>
      <c r="J79" t="s">
        <v>38</v>
      </c>
      <c r="K79" t="s">
        <v>44</v>
      </c>
      <c r="L79">
        <v>6.52</v>
      </c>
      <c r="M79">
        <v>3.37</v>
      </c>
    </row>
    <row r="80" spans="1:13" x14ac:dyDescent="0.25">
      <c r="A80" t="s">
        <v>202</v>
      </c>
      <c r="B80" t="s">
        <v>203</v>
      </c>
      <c r="C80" t="s">
        <v>84</v>
      </c>
      <c r="D80" t="s">
        <v>42</v>
      </c>
      <c r="E80" t="s">
        <v>17</v>
      </c>
      <c r="F80">
        <v>14</v>
      </c>
      <c r="G80">
        <v>126735328</v>
      </c>
      <c r="H80">
        <v>54755163</v>
      </c>
      <c r="I80" t="s">
        <v>26</v>
      </c>
      <c r="J80" t="s">
        <v>38</v>
      </c>
      <c r="K80" t="s">
        <v>44</v>
      </c>
      <c r="L80">
        <v>12.17</v>
      </c>
      <c r="M80">
        <v>6.66</v>
      </c>
    </row>
    <row r="81" spans="1:13" x14ac:dyDescent="0.25">
      <c r="A81" t="s">
        <v>204</v>
      </c>
      <c r="B81" t="s">
        <v>155</v>
      </c>
      <c r="C81" t="s">
        <v>60</v>
      </c>
      <c r="D81" t="s">
        <v>61</v>
      </c>
      <c r="E81" t="s">
        <v>49</v>
      </c>
      <c r="F81">
        <v>15</v>
      </c>
      <c r="G81">
        <v>15299847</v>
      </c>
      <c r="H81">
        <v>0</v>
      </c>
      <c r="I81" t="s">
        <v>33</v>
      </c>
      <c r="J81" t="s">
        <v>19</v>
      </c>
      <c r="K81" t="s">
        <v>44</v>
      </c>
      <c r="L81">
        <v>7.38</v>
      </c>
      <c r="M81">
        <v>3.93</v>
      </c>
    </row>
    <row r="82" spans="1:13" x14ac:dyDescent="0.25">
      <c r="A82" t="s">
        <v>205</v>
      </c>
      <c r="B82" t="s">
        <v>206</v>
      </c>
      <c r="C82" t="s">
        <v>60</v>
      </c>
      <c r="D82" t="s">
        <v>61</v>
      </c>
      <c r="E82" t="s">
        <v>17</v>
      </c>
      <c r="F82">
        <v>2</v>
      </c>
      <c r="G82">
        <v>25737036</v>
      </c>
      <c r="H82">
        <v>0</v>
      </c>
      <c r="I82" t="s">
        <v>90</v>
      </c>
      <c r="J82" t="s">
        <v>38</v>
      </c>
      <c r="K82" t="s">
        <v>44</v>
      </c>
      <c r="L82">
        <v>7.38</v>
      </c>
      <c r="M82">
        <v>3.93</v>
      </c>
    </row>
    <row r="83" spans="1:13" x14ac:dyDescent="0.25">
      <c r="A83" t="s">
        <v>207</v>
      </c>
      <c r="B83" t="s">
        <v>208</v>
      </c>
      <c r="C83" t="s">
        <v>77</v>
      </c>
      <c r="D83" t="s">
        <v>31</v>
      </c>
      <c r="E83" t="s">
        <v>17</v>
      </c>
      <c r="F83">
        <v>21</v>
      </c>
      <c r="G83">
        <v>62106266</v>
      </c>
      <c r="I83" t="s">
        <v>90</v>
      </c>
      <c r="J83" t="s">
        <v>34</v>
      </c>
      <c r="K83" t="s">
        <v>20</v>
      </c>
      <c r="L83">
        <v>9.07</v>
      </c>
      <c r="M83">
        <v>7.49</v>
      </c>
    </row>
    <row r="84" spans="1:13" x14ac:dyDescent="0.25">
      <c r="A84" t="s">
        <v>209</v>
      </c>
      <c r="B84" t="s">
        <v>29</v>
      </c>
      <c r="C84" t="s">
        <v>67</v>
      </c>
      <c r="D84" t="s">
        <v>68</v>
      </c>
      <c r="E84" t="s">
        <v>17</v>
      </c>
      <c r="F84">
        <v>37</v>
      </c>
      <c r="G84">
        <v>139769413</v>
      </c>
      <c r="H84">
        <v>0</v>
      </c>
      <c r="I84" t="s">
        <v>18</v>
      </c>
      <c r="J84" t="s">
        <v>27</v>
      </c>
      <c r="K84" t="s">
        <v>44</v>
      </c>
      <c r="L84">
        <v>11.83</v>
      </c>
      <c r="M84">
        <v>13.15</v>
      </c>
    </row>
    <row r="85" spans="1:13" x14ac:dyDescent="0.25">
      <c r="A85" t="s">
        <v>210</v>
      </c>
      <c r="B85" t="s">
        <v>211</v>
      </c>
      <c r="C85" t="s">
        <v>23</v>
      </c>
      <c r="D85" t="s">
        <v>24</v>
      </c>
      <c r="E85" t="s">
        <v>17</v>
      </c>
      <c r="F85">
        <v>36</v>
      </c>
      <c r="H85">
        <v>0</v>
      </c>
      <c r="I85" t="s">
        <v>26</v>
      </c>
      <c r="J85" t="s">
        <v>19</v>
      </c>
      <c r="K85" t="s">
        <v>44</v>
      </c>
      <c r="L85">
        <v>5.7</v>
      </c>
      <c r="M85">
        <v>5.9</v>
      </c>
    </row>
    <row r="86" spans="1:13" x14ac:dyDescent="0.25">
      <c r="A86" t="s">
        <v>212</v>
      </c>
      <c r="B86" t="s">
        <v>213</v>
      </c>
      <c r="C86" t="s">
        <v>30</v>
      </c>
      <c r="D86" t="s">
        <v>31</v>
      </c>
      <c r="E86" t="s">
        <v>69</v>
      </c>
      <c r="F86">
        <v>10</v>
      </c>
      <c r="G86">
        <v>117913959</v>
      </c>
      <c r="H86">
        <v>0</v>
      </c>
      <c r="I86" t="s">
        <v>33</v>
      </c>
      <c r="J86" t="s">
        <v>38</v>
      </c>
      <c r="K86" t="s">
        <v>20</v>
      </c>
      <c r="L86">
        <v>7.73</v>
      </c>
      <c r="M86">
        <v>8.5399999999999991</v>
      </c>
    </row>
    <row r="87" spans="1:13" x14ac:dyDescent="0.25">
      <c r="A87" t="s">
        <v>214</v>
      </c>
      <c r="B87" t="s">
        <v>215</v>
      </c>
      <c r="C87" t="s">
        <v>87</v>
      </c>
      <c r="D87" t="s">
        <v>61</v>
      </c>
      <c r="E87" t="s">
        <v>32</v>
      </c>
      <c r="F87">
        <v>5</v>
      </c>
      <c r="G87">
        <v>74367148</v>
      </c>
      <c r="I87" t="s">
        <v>90</v>
      </c>
      <c r="J87" t="s">
        <v>38</v>
      </c>
      <c r="K87" t="s">
        <v>44</v>
      </c>
      <c r="L87">
        <v>6.52</v>
      </c>
      <c r="M87">
        <v>3.37</v>
      </c>
    </row>
    <row r="88" spans="1:13" x14ac:dyDescent="0.25">
      <c r="A88" t="s">
        <v>216</v>
      </c>
      <c r="B88" t="s">
        <v>217</v>
      </c>
      <c r="C88" t="s">
        <v>15</v>
      </c>
      <c r="D88" t="s">
        <v>16</v>
      </c>
      <c r="E88" t="s">
        <v>25</v>
      </c>
      <c r="F88">
        <v>8</v>
      </c>
      <c r="H88">
        <v>0</v>
      </c>
      <c r="I88" t="s">
        <v>90</v>
      </c>
      <c r="J88" t="s">
        <v>27</v>
      </c>
      <c r="K88" t="s">
        <v>44</v>
      </c>
      <c r="L88">
        <v>6.21</v>
      </c>
      <c r="M88">
        <v>7.07</v>
      </c>
    </row>
    <row r="89" spans="1:13" x14ac:dyDescent="0.25">
      <c r="A89" t="s">
        <v>218</v>
      </c>
      <c r="B89" t="s">
        <v>219</v>
      </c>
      <c r="C89" t="s">
        <v>41</v>
      </c>
      <c r="D89" t="s">
        <v>42</v>
      </c>
      <c r="E89" t="s">
        <v>25</v>
      </c>
      <c r="F89">
        <v>25</v>
      </c>
      <c r="G89">
        <v>67285582</v>
      </c>
      <c r="H89">
        <v>0</v>
      </c>
      <c r="I89" t="s">
        <v>26</v>
      </c>
      <c r="J89" t="s">
        <v>19</v>
      </c>
      <c r="K89" t="s">
        <v>44</v>
      </c>
      <c r="L89">
        <v>10.52</v>
      </c>
      <c r="M89">
        <v>7.44</v>
      </c>
    </row>
    <row r="90" spans="1:13" x14ac:dyDescent="0.25">
      <c r="A90" t="s">
        <v>220</v>
      </c>
      <c r="B90" t="s">
        <v>221</v>
      </c>
      <c r="C90" t="s">
        <v>60</v>
      </c>
      <c r="D90" t="s">
        <v>61</v>
      </c>
      <c r="E90" t="s">
        <v>49</v>
      </c>
      <c r="F90">
        <v>34</v>
      </c>
      <c r="G90">
        <v>23596044</v>
      </c>
      <c r="H90">
        <v>35603639</v>
      </c>
      <c r="I90" t="s">
        <v>90</v>
      </c>
      <c r="J90" t="s">
        <v>38</v>
      </c>
      <c r="K90" t="s">
        <v>44</v>
      </c>
      <c r="L90">
        <v>7.38</v>
      </c>
      <c r="M90">
        <v>3.93</v>
      </c>
    </row>
    <row r="91" spans="1:13" x14ac:dyDescent="0.25">
      <c r="A91" t="s">
        <v>222</v>
      </c>
      <c r="B91" t="s">
        <v>223</v>
      </c>
      <c r="C91" t="s">
        <v>64</v>
      </c>
      <c r="D91" t="s">
        <v>42</v>
      </c>
      <c r="E91" t="s">
        <v>32</v>
      </c>
      <c r="F91">
        <v>29</v>
      </c>
      <c r="G91">
        <v>144267164</v>
      </c>
      <c r="H91">
        <v>0</v>
      </c>
      <c r="I91" t="s">
        <v>33</v>
      </c>
      <c r="J91" t="s">
        <v>38</v>
      </c>
      <c r="K91" t="s">
        <v>44</v>
      </c>
      <c r="L91">
        <v>12</v>
      </c>
      <c r="M91">
        <v>8.52</v>
      </c>
    </row>
    <row r="92" spans="1:13" x14ac:dyDescent="0.25">
      <c r="A92" t="s">
        <v>224</v>
      </c>
      <c r="B92" t="s">
        <v>100</v>
      </c>
      <c r="C92" t="s">
        <v>41</v>
      </c>
      <c r="D92" t="s">
        <v>42</v>
      </c>
      <c r="E92" t="s">
        <v>69</v>
      </c>
      <c r="F92">
        <v>18</v>
      </c>
      <c r="H92">
        <v>0</v>
      </c>
      <c r="I92" t="s">
        <v>18</v>
      </c>
      <c r="J92" t="s">
        <v>38</v>
      </c>
      <c r="K92" t="s">
        <v>44</v>
      </c>
      <c r="L92">
        <v>10.52</v>
      </c>
      <c r="M92">
        <v>7.44</v>
      </c>
    </row>
    <row r="93" spans="1:13" x14ac:dyDescent="0.25">
      <c r="A93" t="s">
        <v>225</v>
      </c>
      <c r="B93" t="s">
        <v>226</v>
      </c>
      <c r="C93" t="s">
        <v>23</v>
      </c>
      <c r="D93" t="s">
        <v>24</v>
      </c>
      <c r="E93" t="s">
        <v>49</v>
      </c>
      <c r="F93">
        <v>8</v>
      </c>
      <c r="I93" t="s">
        <v>33</v>
      </c>
      <c r="J93" t="s">
        <v>19</v>
      </c>
      <c r="K93" t="s">
        <v>44</v>
      </c>
      <c r="L93">
        <v>5.7</v>
      </c>
      <c r="M93">
        <v>5.9</v>
      </c>
    </row>
    <row r="94" spans="1:13" x14ac:dyDescent="0.25">
      <c r="A94" t="s">
        <v>227</v>
      </c>
      <c r="B94" t="s">
        <v>228</v>
      </c>
      <c r="C94" t="s">
        <v>37</v>
      </c>
      <c r="D94" t="s">
        <v>24</v>
      </c>
      <c r="E94" t="s">
        <v>25</v>
      </c>
      <c r="F94">
        <v>13</v>
      </c>
      <c r="G94">
        <v>58701544</v>
      </c>
      <c r="H94">
        <v>0</v>
      </c>
      <c r="I94" t="s">
        <v>33</v>
      </c>
      <c r="J94" t="s">
        <v>34</v>
      </c>
      <c r="K94" t="s">
        <v>44</v>
      </c>
      <c r="L94">
        <v>4.75</v>
      </c>
      <c r="M94">
        <v>7.01</v>
      </c>
    </row>
    <row r="95" spans="1:13" x14ac:dyDescent="0.25">
      <c r="A95" t="s">
        <v>229</v>
      </c>
      <c r="B95" t="s">
        <v>230</v>
      </c>
      <c r="C95" t="s">
        <v>41</v>
      </c>
      <c r="D95" t="s">
        <v>42</v>
      </c>
      <c r="E95" t="s">
        <v>17</v>
      </c>
      <c r="F95">
        <v>8</v>
      </c>
      <c r="G95">
        <v>21908344</v>
      </c>
      <c r="I95" t="s">
        <v>26</v>
      </c>
      <c r="J95" t="s">
        <v>19</v>
      </c>
      <c r="K95" t="s">
        <v>44</v>
      </c>
      <c r="L95">
        <v>10.52</v>
      </c>
      <c r="M95">
        <v>7.44</v>
      </c>
    </row>
    <row r="96" spans="1:13" x14ac:dyDescent="0.25">
      <c r="A96" t="s">
        <v>231</v>
      </c>
      <c r="B96" t="s">
        <v>232</v>
      </c>
      <c r="C96" t="s">
        <v>84</v>
      </c>
      <c r="D96" t="s">
        <v>42</v>
      </c>
      <c r="E96" t="s">
        <v>69</v>
      </c>
      <c r="F96">
        <v>13</v>
      </c>
      <c r="H96">
        <v>0</v>
      </c>
      <c r="I96" t="s">
        <v>33</v>
      </c>
      <c r="J96" t="s">
        <v>27</v>
      </c>
      <c r="K96" t="s">
        <v>44</v>
      </c>
      <c r="L96">
        <v>12.17</v>
      </c>
      <c r="M96">
        <v>6.66</v>
      </c>
    </row>
    <row r="97" spans="1:13" x14ac:dyDescent="0.25">
      <c r="A97" t="s">
        <v>233</v>
      </c>
      <c r="B97" t="s">
        <v>234</v>
      </c>
      <c r="C97" t="s">
        <v>64</v>
      </c>
      <c r="D97" t="s">
        <v>42</v>
      </c>
      <c r="E97" t="s">
        <v>25</v>
      </c>
      <c r="F97">
        <v>35</v>
      </c>
      <c r="G97">
        <v>48810656</v>
      </c>
      <c r="I97" t="s">
        <v>26</v>
      </c>
      <c r="J97" t="s">
        <v>27</v>
      </c>
      <c r="K97" t="s">
        <v>20</v>
      </c>
      <c r="L97">
        <v>12</v>
      </c>
      <c r="M97">
        <v>8.52</v>
      </c>
    </row>
    <row r="98" spans="1:13" x14ac:dyDescent="0.25">
      <c r="A98" t="s">
        <v>235</v>
      </c>
      <c r="B98" t="s">
        <v>236</v>
      </c>
      <c r="C98" t="s">
        <v>52</v>
      </c>
      <c r="D98" t="s">
        <v>42</v>
      </c>
      <c r="E98" t="s">
        <v>25</v>
      </c>
      <c r="F98">
        <v>25</v>
      </c>
      <c r="H98">
        <v>63345210</v>
      </c>
      <c r="I98" t="s">
        <v>33</v>
      </c>
      <c r="J98" t="s">
        <v>34</v>
      </c>
      <c r="K98" t="s">
        <v>20</v>
      </c>
      <c r="L98">
        <v>12.99</v>
      </c>
      <c r="M98">
        <v>7.6</v>
      </c>
    </row>
    <row r="99" spans="1:13" x14ac:dyDescent="0.25">
      <c r="A99" t="s">
        <v>237</v>
      </c>
      <c r="B99" t="s">
        <v>238</v>
      </c>
      <c r="C99" t="s">
        <v>67</v>
      </c>
      <c r="D99" t="s">
        <v>68</v>
      </c>
      <c r="E99" t="s">
        <v>43</v>
      </c>
      <c r="F99">
        <v>20</v>
      </c>
      <c r="G99">
        <v>120865066</v>
      </c>
      <c r="I99" t="s">
        <v>18</v>
      </c>
      <c r="J99" t="s">
        <v>38</v>
      </c>
      <c r="K99" t="s">
        <v>44</v>
      </c>
      <c r="L99">
        <v>11.83</v>
      </c>
      <c r="M99">
        <v>13.15</v>
      </c>
    </row>
    <row r="100" spans="1:13" x14ac:dyDescent="0.25">
      <c r="A100" t="s">
        <v>239</v>
      </c>
      <c r="B100" t="s">
        <v>240</v>
      </c>
      <c r="C100" t="s">
        <v>77</v>
      </c>
      <c r="D100" t="s">
        <v>31</v>
      </c>
      <c r="E100" t="s">
        <v>17</v>
      </c>
      <c r="F100">
        <v>15</v>
      </c>
      <c r="I100" t="s">
        <v>26</v>
      </c>
      <c r="J100" t="s">
        <v>34</v>
      </c>
      <c r="K100" t="s">
        <v>44</v>
      </c>
      <c r="L100">
        <v>9.07</v>
      </c>
      <c r="M100">
        <v>7.49</v>
      </c>
    </row>
    <row r="101" spans="1:13" x14ac:dyDescent="0.25">
      <c r="A101" t="s">
        <v>241</v>
      </c>
      <c r="B101" t="s">
        <v>242</v>
      </c>
      <c r="C101" t="s">
        <v>41</v>
      </c>
      <c r="D101" t="s">
        <v>42</v>
      </c>
      <c r="E101" t="s">
        <v>25</v>
      </c>
      <c r="F101">
        <v>22</v>
      </c>
      <c r="G101">
        <v>62432721</v>
      </c>
      <c r="I101" t="s">
        <v>90</v>
      </c>
      <c r="J101" t="s">
        <v>38</v>
      </c>
      <c r="K101" t="s">
        <v>44</v>
      </c>
      <c r="L101">
        <v>10.52</v>
      </c>
      <c r="M101">
        <v>7.44</v>
      </c>
    </row>
    <row r="102" spans="1:13" x14ac:dyDescent="0.25">
      <c r="A102" t="s">
        <v>243</v>
      </c>
      <c r="B102" t="s">
        <v>244</v>
      </c>
      <c r="C102" t="s">
        <v>77</v>
      </c>
      <c r="D102" t="s">
        <v>31</v>
      </c>
      <c r="E102" t="s">
        <v>49</v>
      </c>
      <c r="F102">
        <v>29</v>
      </c>
      <c r="H102">
        <v>0</v>
      </c>
      <c r="I102" t="s">
        <v>26</v>
      </c>
      <c r="J102" t="s">
        <v>38</v>
      </c>
      <c r="K102" t="s">
        <v>44</v>
      </c>
      <c r="L102">
        <v>9.07</v>
      </c>
      <c r="M102">
        <v>7.49</v>
      </c>
    </row>
    <row r="103" spans="1:13" x14ac:dyDescent="0.25">
      <c r="A103" t="s">
        <v>245</v>
      </c>
      <c r="B103" t="s">
        <v>246</v>
      </c>
      <c r="C103" t="s">
        <v>67</v>
      </c>
      <c r="D103" t="s">
        <v>68</v>
      </c>
      <c r="E103" t="s">
        <v>43</v>
      </c>
      <c r="F103">
        <v>37</v>
      </c>
      <c r="H103">
        <v>0</v>
      </c>
      <c r="I103" t="s">
        <v>18</v>
      </c>
      <c r="J103" t="s">
        <v>27</v>
      </c>
      <c r="K103" t="s">
        <v>20</v>
      </c>
      <c r="L103">
        <v>11.83</v>
      </c>
      <c r="M103">
        <v>13.15</v>
      </c>
    </row>
    <row r="104" spans="1:13" x14ac:dyDescent="0.25">
      <c r="A104" t="s">
        <v>247</v>
      </c>
      <c r="B104" t="s">
        <v>248</v>
      </c>
      <c r="C104" t="s">
        <v>77</v>
      </c>
      <c r="D104" t="s">
        <v>31</v>
      </c>
      <c r="E104" t="s">
        <v>57</v>
      </c>
      <c r="F104">
        <v>6</v>
      </c>
      <c r="G104">
        <v>134018162</v>
      </c>
      <c r="H104">
        <v>26197061</v>
      </c>
      <c r="I104" t="s">
        <v>33</v>
      </c>
      <c r="J104" t="s">
        <v>34</v>
      </c>
      <c r="K104" t="s">
        <v>44</v>
      </c>
      <c r="L104">
        <v>9.07</v>
      </c>
      <c r="M104">
        <v>7.49</v>
      </c>
    </row>
    <row r="105" spans="1:13" x14ac:dyDescent="0.25">
      <c r="A105" t="s">
        <v>249</v>
      </c>
      <c r="B105" t="s">
        <v>250</v>
      </c>
      <c r="C105" t="s">
        <v>30</v>
      </c>
      <c r="D105" t="s">
        <v>31</v>
      </c>
      <c r="E105" t="s">
        <v>25</v>
      </c>
      <c r="F105">
        <v>18</v>
      </c>
      <c r="H105">
        <v>23103392</v>
      </c>
      <c r="I105" t="s">
        <v>18</v>
      </c>
      <c r="J105" t="s">
        <v>34</v>
      </c>
      <c r="K105" t="s">
        <v>20</v>
      </c>
      <c r="L105">
        <v>7.73</v>
      </c>
      <c r="M105">
        <v>8.5399999999999991</v>
      </c>
    </row>
    <row r="106" spans="1:13" x14ac:dyDescent="0.25">
      <c r="A106" t="s">
        <v>251</v>
      </c>
      <c r="B106" t="s">
        <v>252</v>
      </c>
      <c r="C106" t="s">
        <v>15</v>
      </c>
      <c r="D106" t="s">
        <v>16</v>
      </c>
      <c r="E106" t="s">
        <v>25</v>
      </c>
      <c r="F106">
        <v>29</v>
      </c>
      <c r="H106">
        <v>11634434</v>
      </c>
      <c r="I106" t="s">
        <v>26</v>
      </c>
      <c r="J106" t="s">
        <v>34</v>
      </c>
      <c r="K106" t="s">
        <v>44</v>
      </c>
      <c r="L106">
        <v>6.21</v>
      </c>
      <c r="M106">
        <v>7.07</v>
      </c>
    </row>
    <row r="107" spans="1:13" x14ac:dyDescent="0.25">
      <c r="A107" t="s">
        <v>253</v>
      </c>
      <c r="B107" t="s">
        <v>254</v>
      </c>
      <c r="C107" t="s">
        <v>41</v>
      </c>
      <c r="D107" t="s">
        <v>42</v>
      </c>
      <c r="E107" t="s">
        <v>57</v>
      </c>
      <c r="F107">
        <v>17</v>
      </c>
      <c r="G107">
        <v>110020654</v>
      </c>
      <c r="I107" t="s">
        <v>18</v>
      </c>
      <c r="J107" t="s">
        <v>19</v>
      </c>
      <c r="K107" t="s">
        <v>44</v>
      </c>
      <c r="L107">
        <v>10.52</v>
      </c>
      <c r="M107">
        <v>7.44</v>
      </c>
    </row>
    <row r="108" spans="1:13" x14ac:dyDescent="0.25">
      <c r="A108" t="s">
        <v>255</v>
      </c>
      <c r="B108" t="s">
        <v>256</v>
      </c>
      <c r="C108" t="s">
        <v>52</v>
      </c>
      <c r="D108" t="s">
        <v>42</v>
      </c>
      <c r="E108" t="s">
        <v>17</v>
      </c>
      <c r="F108">
        <v>1</v>
      </c>
      <c r="G108">
        <v>145428854</v>
      </c>
      <c r="H108">
        <v>77032177</v>
      </c>
      <c r="I108" t="s">
        <v>33</v>
      </c>
      <c r="J108" t="s">
        <v>34</v>
      </c>
      <c r="K108" t="s">
        <v>44</v>
      </c>
      <c r="L108">
        <v>12.99</v>
      </c>
      <c r="M108">
        <v>7.6</v>
      </c>
    </row>
    <row r="109" spans="1:13" x14ac:dyDescent="0.25">
      <c r="A109" t="s">
        <v>257</v>
      </c>
      <c r="B109" t="s">
        <v>256</v>
      </c>
      <c r="C109" t="s">
        <v>60</v>
      </c>
      <c r="D109" t="s">
        <v>61</v>
      </c>
      <c r="E109" t="s">
        <v>57</v>
      </c>
      <c r="F109">
        <v>15</v>
      </c>
      <c r="G109">
        <v>8433053</v>
      </c>
      <c r="I109" t="s">
        <v>33</v>
      </c>
      <c r="J109" t="s">
        <v>19</v>
      </c>
      <c r="K109" t="s">
        <v>44</v>
      </c>
      <c r="L109">
        <v>7.38</v>
      </c>
      <c r="M109">
        <v>3.93</v>
      </c>
    </row>
    <row r="110" spans="1:13" x14ac:dyDescent="0.25">
      <c r="A110" t="s">
        <v>258</v>
      </c>
      <c r="B110" t="s">
        <v>259</v>
      </c>
      <c r="C110" t="s">
        <v>41</v>
      </c>
      <c r="D110" t="s">
        <v>42</v>
      </c>
      <c r="E110" t="s">
        <v>49</v>
      </c>
      <c r="F110">
        <v>28</v>
      </c>
      <c r="G110">
        <v>63792800</v>
      </c>
      <c r="I110" t="s">
        <v>90</v>
      </c>
      <c r="J110" t="s">
        <v>27</v>
      </c>
      <c r="K110" t="s">
        <v>44</v>
      </c>
      <c r="L110">
        <v>10.52</v>
      </c>
      <c r="M110">
        <v>7.44</v>
      </c>
    </row>
    <row r="111" spans="1:13" x14ac:dyDescent="0.25">
      <c r="A111" t="s">
        <v>260</v>
      </c>
      <c r="B111" t="s">
        <v>261</v>
      </c>
      <c r="C111" t="s">
        <v>64</v>
      </c>
      <c r="D111" t="s">
        <v>42</v>
      </c>
      <c r="E111" t="s">
        <v>57</v>
      </c>
      <c r="F111">
        <v>21</v>
      </c>
      <c r="H111">
        <v>0</v>
      </c>
      <c r="I111" t="s">
        <v>26</v>
      </c>
      <c r="J111" t="s">
        <v>34</v>
      </c>
      <c r="K111" t="s">
        <v>44</v>
      </c>
      <c r="L111">
        <v>12</v>
      </c>
      <c r="M111">
        <v>8.52</v>
      </c>
    </row>
    <row r="112" spans="1:13" x14ac:dyDescent="0.25">
      <c r="A112" t="s">
        <v>262</v>
      </c>
      <c r="B112" t="s">
        <v>263</v>
      </c>
      <c r="C112" t="s">
        <v>77</v>
      </c>
      <c r="D112" t="s">
        <v>31</v>
      </c>
      <c r="E112" t="s">
        <v>32</v>
      </c>
      <c r="F112">
        <v>36</v>
      </c>
      <c r="I112" t="s">
        <v>18</v>
      </c>
      <c r="J112" t="s">
        <v>27</v>
      </c>
      <c r="K112" t="s">
        <v>20</v>
      </c>
      <c r="L112">
        <v>9.07</v>
      </c>
      <c r="M112">
        <v>7.49</v>
      </c>
    </row>
    <row r="113" spans="1:13" x14ac:dyDescent="0.25">
      <c r="A113" t="s">
        <v>264</v>
      </c>
      <c r="B113" t="s">
        <v>173</v>
      </c>
      <c r="C113" t="s">
        <v>30</v>
      </c>
      <c r="D113" t="s">
        <v>31</v>
      </c>
      <c r="E113" t="s">
        <v>32</v>
      </c>
      <c r="F113">
        <v>39</v>
      </c>
      <c r="H113">
        <v>43570500</v>
      </c>
      <c r="I113" t="s">
        <v>18</v>
      </c>
      <c r="J113" t="s">
        <v>34</v>
      </c>
      <c r="K113" t="s">
        <v>44</v>
      </c>
      <c r="L113">
        <v>7.73</v>
      </c>
      <c r="M113">
        <v>8.5399999999999991</v>
      </c>
    </row>
    <row r="114" spans="1:13" x14ac:dyDescent="0.25">
      <c r="A114" t="s">
        <v>265</v>
      </c>
      <c r="B114" t="s">
        <v>266</v>
      </c>
      <c r="C114" t="s">
        <v>77</v>
      </c>
      <c r="D114" t="s">
        <v>31</v>
      </c>
      <c r="E114" t="s">
        <v>17</v>
      </c>
      <c r="F114">
        <v>10</v>
      </c>
      <c r="G114">
        <v>73972960</v>
      </c>
      <c r="H114">
        <v>98681187</v>
      </c>
      <c r="I114" t="s">
        <v>18</v>
      </c>
      <c r="J114" t="s">
        <v>27</v>
      </c>
      <c r="K114" t="s">
        <v>44</v>
      </c>
      <c r="L114">
        <v>9.07</v>
      </c>
      <c r="M114">
        <v>7.49</v>
      </c>
    </row>
    <row r="115" spans="1:13" x14ac:dyDescent="0.25">
      <c r="A115" t="s">
        <v>267</v>
      </c>
      <c r="B115" t="s">
        <v>268</v>
      </c>
      <c r="C115" t="s">
        <v>30</v>
      </c>
      <c r="D115" t="s">
        <v>31</v>
      </c>
      <c r="E115" t="s">
        <v>69</v>
      </c>
      <c r="F115">
        <v>38</v>
      </c>
      <c r="H115">
        <v>0</v>
      </c>
      <c r="I115" t="s">
        <v>26</v>
      </c>
      <c r="J115" t="s">
        <v>19</v>
      </c>
      <c r="K115" t="s">
        <v>44</v>
      </c>
      <c r="L115">
        <v>7.73</v>
      </c>
      <c r="M115">
        <v>8.5399999999999991</v>
      </c>
    </row>
    <row r="116" spans="1:13" x14ac:dyDescent="0.25">
      <c r="A116" t="s">
        <v>269</v>
      </c>
      <c r="B116" t="s">
        <v>270</v>
      </c>
      <c r="C116" t="s">
        <v>41</v>
      </c>
      <c r="D116" t="s">
        <v>42</v>
      </c>
      <c r="E116" t="s">
        <v>49</v>
      </c>
      <c r="F116">
        <v>33</v>
      </c>
      <c r="H116">
        <v>0</v>
      </c>
      <c r="I116" t="s">
        <v>33</v>
      </c>
      <c r="J116" t="s">
        <v>34</v>
      </c>
      <c r="K116" t="s">
        <v>44</v>
      </c>
      <c r="L116">
        <v>10.52</v>
      </c>
      <c r="M116">
        <v>7.44</v>
      </c>
    </row>
    <row r="117" spans="1:13" x14ac:dyDescent="0.25">
      <c r="A117" t="s">
        <v>271</v>
      </c>
      <c r="B117" t="s">
        <v>272</v>
      </c>
      <c r="C117" t="s">
        <v>41</v>
      </c>
      <c r="D117" t="s">
        <v>42</v>
      </c>
      <c r="E117" t="s">
        <v>69</v>
      </c>
      <c r="F117">
        <v>20</v>
      </c>
      <c r="I117" t="s">
        <v>18</v>
      </c>
      <c r="J117" t="s">
        <v>34</v>
      </c>
      <c r="K117" t="s">
        <v>44</v>
      </c>
      <c r="L117">
        <v>10.52</v>
      </c>
      <c r="M117">
        <v>7.44</v>
      </c>
    </row>
    <row r="118" spans="1:13" x14ac:dyDescent="0.25">
      <c r="A118" t="s">
        <v>273</v>
      </c>
      <c r="B118" t="s">
        <v>274</v>
      </c>
      <c r="C118" t="s">
        <v>72</v>
      </c>
      <c r="D118" t="s">
        <v>61</v>
      </c>
      <c r="E118" t="s">
        <v>25</v>
      </c>
      <c r="F118">
        <v>32</v>
      </c>
      <c r="I118" t="s">
        <v>90</v>
      </c>
      <c r="J118" t="s">
        <v>34</v>
      </c>
      <c r="K118" t="s">
        <v>20</v>
      </c>
      <c r="L118">
        <v>6.9</v>
      </c>
      <c r="M118">
        <v>3.3</v>
      </c>
    </row>
    <row r="119" spans="1:13" x14ac:dyDescent="0.25">
      <c r="A119" t="s">
        <v>275</v>
      </c>
      <c r="B119" t="s">
        <v>276</v>
      </c>
      <c r="C119" t="s">
        <v>41</v>
      </c>
      <c r="D119" t="s">
        <v>42</v>
      </c>
      <c r="E119" t="s">
        <v>17</v>
      </c>
      <c r="F119">
        <v>33</v>
      </c>
      <c r="G119">
        <v>20289536</v>
      </c>
      <c r="H119">
        <v>0</v>
      </c>
      <c r="I119" t="s">
        <v>26</v>
      </c>
      <c r="J119" t="s">
        <v>27</v>
      </c>
      <c r="K119" t="s">
        <v>20</v>
      </c>
      <c r="L119">
        <v>10.52</v>
      </c>
      <c r="M119">
        <v>7.44</v>
      </c>
    </row>
    <row r="120" spans="1:13" x14ac:dyDescent="0.25">
      <c r="A120" t="s">
        <v>277</v>
      </c>
      <c r="B120" t="s">
        <v>270</v>
      </c>
      <c r="C120" t="s">
        <v>60</v>
      </c>
      <c r="D120" t="s">
        <v>61</v>
      </c>
      <c r="E120" t="s">
        <v>49</v>
      </c>
      <c r="F120">
        <v>9</v>
      </c>
      <c r="G120">
        <v>45989170</v>
      </c>
      <c r="H120">
        <v>0</v>
      </c>
      <c r="I120" t="s">
        <v>18</v>
      </c>
      <c r="J120" t="s">
        <v>27</v>
      </c>
      <c r="K120" t="s">
        <v>44</v>
      </c>
      <c r="L120">
        <v>7.38</v>
      </c>
      <c r="M120">
        <v>3.93</v>
      </c>
    </row>
    <row r="121" spans="1:13" x14ac:dyDescent="0.25">
      <c r="A121" t="s">
        <v>278</v>
      </c>
      <c r="B121" t="s">
        <v>279</v>
      </c>
      <c r="C121" t="s">
        <v>15</v>
      </c>
      <c r="D121" t="s">
        <v>16</v>
      </c>
      <c r="E121" t="s">
        <v>57</v>
      </c>
      <c r="F121">
        <v>39</v>
      </c>
      <c r="H121">
        <v>0</v>
      </c>
      <c r="I121" t="s">
        <v>26</v>
      </c>
      <c r="J121" t="s">
        <v>34</v>
      </c>
      <c r="K121" t="s">
        <v>44</v>
      </c>
      <c r="L121">
        <v>6.21</v>
      </c>
      <c r="M121">
        <v>7.07</v>
      </c>
    </row>
    <row r="122" spans="1:13" x14ac:dyDescent="0.25">
      <c r="A122" t="s">
        <v>280</v>
      </c>
      <c r="B122" t="s">
        <v>221</v>
      </c>
      <c r="C122" t="s">
        <v>41</v>
      </c>
      <c r="D122" t="s">
        <v>42</v>
      </c>
      <c r="E122" t="s">
        <v>25</v>
      </c>
      <c r="F122">
        <v>19</v>
      </c>
      <c r="G122">
        <v>32858196</v>
      </c>
      <c r="I122" t="s">
        <v>90</v>
      </c>
      <c r="J122" t="s">
        <v>34</v>
      </c>
      <c r="K122" t="s">
        <v>20</v>
      </c>
      <c r="L122">
        <v>10.52</v>
      </c>
      <c r="M122">
        <v>7.44</v>
      </c>
    </row>
    <row r="123" spans="1:13" x14ac:dyDescent="0.25">
      <c r="A123" t="s">
        <v>281</v>
      </c>
      <c r="B123" t="s">
        <v>48</v>
      </c>
      <c r="C123" t="s">
        <v>30</v>
      </c>
      <c r="D123" t="s">
        <v>31</v>
      </c>
      <c r="E123" t="s">
        <v>32</v>
      </c>
      <c r="F123">
        <v>35</v>
      </c>
      <c r="G123">
        <v>100723312</v>
      </c>
      <c r="H123">
        <v>24145666</v>
      </c>
      <c r="I123" t="s">
        <v>33</v>
      </c>
      <c r="J123" t="s">
        <v>19</v>
      </c>
      <c r="K123" t="s">
        <v>44</v>
      </c>
      <c r="L123">
        <v>7.73</v>
      </c>
      <c r="M123">
        <v>8.5399999999999991</v>
      </c>
    </row>
    <row r="124" spans="1:13" x14ac:dyDescent="0.25">
      <c r="A124" t="s">
        <v>282</v>
      </c>
      <c r="B124" t="s">
        <v>283</v>
      </c>
      <c r="C124" t="s">
        <v>23</v>
      </c>
      <c r="D124" t="s">
        <v>24</v>
      </c>
      <c r="E124" t="s">
        <v>57</v>
      </c>
      <c r="F124">
        <v>36</v>
      </c>
      <c r="I124" t="s">
        <v>26</v>
      </c>
      <c r="J124" t="s">
        <v>38</v>
      </c>
      <c r="K124" t="s">
        <v>44</v>
      </c>
      <c r="L124">
        <v>5.7</v>
      </c>
      <c r="M124">
        <v>5.9</v>
      </c>
    </row>
    <row r="125" spans="1:13" x14ac:dyDescent="0.25">
      <c r="A125" t="s">
        <v>284</v>
      </c>
      <c r="B125" t="s">
        <v>163</v>
      </c>
      <c r="C125" t="s">
        <v>60</v>
      </c>
      <c r="D125" t="s">
        <v>61</v>
      </c>
      <c r="E125" t="s">
        <v>32</v>
      </c>
      <c r="F125">
        <v>4</v>
      </c>
      <c r="G125">
        <v>56211871</v>
      </c>
      <c r="I125" t="s">
        <v>26</v>
      </c>
      <c r="J125" t="s">
        <v>27</v>
      </c>
      <c r="K125" t="s">
        <v>20</v>
      </c>
      <c r="L125">
        <v>7.38</v>
      </c>
      <c r="M125">
        <v>3.93</v>
      </c>
    </row>
    <row r="126" spans="1:13" x14ac:dyDescent="0.25">
      <c r="A126" t="s">
        <v>285</v>
      </c>
      <c r="B126" t="s">
        <v>286</v>
      </c>
      <c r="C126" t="s">
        <v>77</v>
      </c>
      <c r="D126" t="s">
        <v>31</v>
      </c>
      <c r="E126" t="s">
        <v>69</v>
      </c>
      <c r="F126">
        <v>27</v>
      </c>
      <c r="G126">
        <v>128201908</v>
      </c>
      <c r="H126">
        <v>48849357</v>
      </c>
      <c r="I126" t="s">
        <v>90</v>
      </c>
      <c r="J126" t="s">
        <v>19</v>
      </c>
      <c r="K126" t="s">
        <v>44</v>
      </c>
      <c r="L126">
        <v>9.07</v>
      </c>
      <c r="M126">
        <v>7.49</v>
      </c>
    </row>
    <row r="127" spans="1:13" x14ac:dyDescent="0.25">
      <c r="A127" t="s">
        <v>287</v>
      </c>
      <c r="B127" t="s">
        <v>288</v>
      </c>
      <c r="C127" t="s">
        <v>37</v>
      </c>
      <c r="D127" t="s">
        <v>24</v>
      </c>
      <c r="E127" t="s">
        <v>69</v>
      </c>
      <c r="F127">
        <v>13</v>
      </c>
      <c r="I127" t="s">
        <v>18</v>
      </c>
      <c r="J127" t="s">
        <v>19</v>
      </c>
      <c r="K127" t="s">
        <v>44</v>
      </c>
      <c r="L127">
        <v>4.75</v>
      </c>
      <c r="M127">
        <v>7.01</v>
      </c>
    </row>
    <row r="128" spans="1:13" x14ac:dyDescent="0.25">
      <c r="A128" t="s">
        <v>289</v>
      </c>
      <c r="B128" t="s">
        <v>290</v>
      </c>
      <c r="C128" t="s">
        <v>41</v>
      </c>
      <c r="D128" t="s">
        <v>42</v>
      </c>
      <c r="E128" t="s">
        <v>25</v>
      </c>
      <c r="F128">
        <v>5</v>
      </c>
      <c r="G128">
        <v>110082112</v>
      </c>
      <c r="I128" t="s">
        <v>26</v>
      </c>
      <c r="J128" t="s">
        <v>34</v>
      </c>
      <c r="K128" t="s">
        <v>20</v>
      </c>
      <c r="L128">
        <v>10.52</v>
      </c>
      <c r="M128">
        <v>7.44</v>
      </c>
    </row>
    <row r="129" spans="1:13" x14ac:dyDescent="0.25">
      <c r="A129" t="s">
        <v>291</v>
      </c>
      <c r="B129" t="s">
        <v>292</v>
      </c>
      <c r="C129" t="s">
        <v>87</v>
      </c>
      <c r="D129" t="s">
        <v>61</v>
      </c>
      <c r="E129" t="s">
        <v>49</v>
      </c>
      <c r="F129">
        <v>13</v>
      </c>
      <c r="H129">
        <v>0</v>
      </c>
      <c r="I129" t="s">
        <v>18</v>
      </c>
      <c r="J129" t="s">
        <v>19</v>
      </c>
      <c r="K129" t="s">
        <v>44</v>
      </c>
      <c r="L129">
        <v>6.52</v>
      </c>
      <c r="M129">
        <v>3.37</v>
      </c>
    </row>
    <row r="130" spans="1:13" x14ac:dyDescent="0.25">
      <c r="A130" t="s">
        <v>293</v>
      </c>
      <c r="B130" t="s">
        <v>294</v>
      </c>
      <c r="C130" t="s">
        <v>77</v>
      </c>
      <c r="D130" t="s">
        <v>31</v>
      </c>
      <c r="E130" t="s">
        <v>32</v>
      </c>
      <c r="F130">
        <v>20</v>
      </c>
      <c r="I130" t="s">
        <v>90</v>
      </c>
      <c r="J130" t="s">
        <v>34</v>
      </c>
      <c r="K130" t="s">
        <v>44</v>
      </c>
      <c r="L130">
        <v>9.07</v>
      </c>
      <c r="M130">
        <v>7.49</v>
      </c>
    </row>
    <row r="131" spans="1:13" x14ac:dyDescent="0.25">
      <c r="A131" t="s">
        <v>295</v>
      </c>
      <c r="B131" t="s">
        <v>296</v>
      </c>
      <c r="C131" t="s">
        <v>84</v>
      </c>
      <c r="D131" t="s">
        <v>42</v>
      </c>
      <c r="E131" t="s">
        <v>57</v>
      </c>
      <c r="F131">
        <v>8</v>
      </c>
      <c r="G131">
        <v>70516565</v>
      </c>
      <c r="I131" t="s">
        <v>33</v>
      </c>
      <c r="J131" t="s">
        <v>27</v>
      </c>
      <c r="K131" t="s">
        <v>44</v>
      </c>
      <c r="L131">
        <v>12.17</v>
      </c>
      <c r="M131">
        <v>6.66</v>
      </c>
    </row>
    <row r="132" spans="1:13" x14ac:dyDescent="0.25">
      <c r="A132" t="s">
        <v>297</v>
      </c>
      <c r="B132" t="s">
        <v>298</v>
      </c>
      <c r="C132" t="s">
        <v>84</v>
      </c>
      <c r="D132" t="s">
        <v>42</v>
      </c>
      <c r="E132" t="s">
        <v>25</v>
      </c>
      <c r="F132">
        <v>7</v>
      </c>
      <c r="G132">
        <v>148818146</v>
      </c>
      <c r="H132">
        <v>44775288</v>
      </c>
      <c r="I132" t="s">
        <v>33</v>
      </c>
      <c r="J132" t="s">
        <v>27</v>
      </c>
      <c r="K132" t="s">
        <v>44</v>
      </c>
      <c r="L132">
        <v>12.17</v>
      </c>
      <c r="M132">
        <v>6.66</v>
      </c>
    </row>
    <row r="133" spans="1:13" x14ac:dyDescent="0.25">
      <c r="A133" t="s">
        <v>299</v>
      </c>
      <c r="B133" t="s">
        <v>300</v>
      </c>
      <c r="C133" t="s">
        <v>52</v>
      </c>
      <c r="D133" t="s">
        <v>42</v>
      </c>
      <c r="E133" t="s">
        <v>49</v>
      </c>
      <c r="F133">
        <v>22</v>
      </c>
      <c r="I133" t="s">
        <v>90</v>
      </c>
      <c r="J133" t="s">
        <v>38</v>
      </c>
      <c r="K133" t="s">
        <v>44</v>
      </c>
      <c r="L133">
        <v>12.99</v>
      </c>
      <c r="M133">
        <v>7.6</v>
      </c>
    </row>
    <row r="134" spans="1:13" x14ac:dyDescent="0.25">
      <c r="A134" t="s">
        <v>301</v>
      </c>
      <c r="B134" t="s">
        <v>302</v>
      </c>
      <c r="C134" t="s">
        <v>23</v>
      </c>
      <c r="D134" t="s">
        <v>24</v>
      </c>
      <c r="E134" t="s">
        <v>69</v>
      </c>
      <c r="F134">
        <v>10</v>
      </c>
      <c r="G134">
        <v>97391317</v>
      </c>
      <c r="H134">
        <v>0</v>
      </c>
      <c r="I134" t="s">
        <v>33</v>
      </c>
      <c r="J134" t="s">
        <v>34</v>
      </c>
      <c r="K134" t="s">
        <v>44</v>
      </c>
      <c r="L134">
        <v>5.7</v>
      </c>
      <c r="M134">
        <v>5.9</v>
      </c>
    </row>
    <row r="135" spans="1:13" x14ac:dyDescent="0.25">
      <c r="A135" t="s">
        <v>303</v>
      </c>
      <c r="B135" t="s">
        <v>219</v>
      </c>
      <c r="C135" t="s">
        <v>30</v>
      </c>
      <c r="D135" t="s">
        <v>31</v>
      </c>
      <c r="E135" t="s">
        <v>32</v>
      </c>
      <c r="F135">
        <v>27</v>
      </c>
      <c r="G135">
        <v>124113375</v>
      </c>
      <c r="I135" t="s">
        <v>26</v>
      </c>
      <c r="J135" t="s">
        <v>34</v>
      </c>
      <c r="K135" t="s">
        <v>20</v>
      </c>
      <c r="L135">
        <v>7.73</v>
      </c>
      <c r="M135">
        <v>8.5399999999999991</v>
      </c>
    </row>
    <row r="136" spans="1:13" x14ac:dyDescent="0.25">
      <c r="A136" t="s">
        <v>304</v>
      </c>
      <c r="B136" t="s">
        <v>305</v>
      </c>
      <c r="C136" t="s">
        <v>84</v>
      </c>
      <c r="D136" t="s">
        <v>42</v>
      </c>
      <c r="E136" t="s">
        <v>69</v>
      </c>
      <c r="F136">
        <v>12</v>
      </c>
      <c r="H136">
        <v>0</v>
      </c>
      <c r="I136" t="s">
        <v>18</v>
      </c>
      <c r="J136" t="s">
        <v>27</v>
      </c>
      <c r="K136" t="s">
        <v>20</v>
      </c>
      <c r="L136">
        <v>12.17</v>
      </c>
      <c r="M136">
        <v>6.66</v>
      </c>
    </row>
    <row r="137" spans="1:13" x14ac:dyDescent="0.25">
      <c r="A137" t="s">
        <v>306</v>
      </c>
      <c r="B137" t="s">
        <v>307</v>
      </c>
      <c r="C137" t="s">
        <v>60</v>
      </c>
      <c r="D137" t="s">
        <v>61</v>
      </c>
      <c r="E137" t="s">
        <v>32</v>
      </c>
      <c r="F137">
        <v>34</v>
      </c>
      <c r="H137">
        <v>74295517</v>
      </c>
      <c r="I137" t="s">
        <v>90</v>
      </c>
      <c r="J137" t="s">
        <v>27</v>
      </c>
      <c r="K137" t="s">
        <v>20</v>
      </c>
      <c r="L137">
        <v>7.38</v>
      </c>
      <c r="M137">
        <v>3.93</v>
      </c>
    </row>
    <row r="138" spans="1:13" x14ac:dyDescent="0.25">
      <c r="A138" t="s">
        <v>308</v>
      </c>
      <c r="B138" t="s">
        <v>309</v>
      </c>
      <c r="C138" t="s">
        <v>87</v>
      </c>
      <c r="D138" t="s">
        <v>61</v>
      </c>
      <c r="E138" t="s">
        <v>32</v>
      </c>
      <c r="F138">
        <v>25</v>
      </c>
      <c r="G138">
        <v>11180373</v>
      </c>
      <c r="H138">
        <v>73348632</v>
      </c>
      <c r="I138" t="s">
        <v>90</v>
      </c>
      <c r="J138" t="s">
        <v>38</v>
      </c>
      <c r="K138" t="s">
        <v>44</v>
      </c>
      <c r="L138">
        <v>6.52</v>
      </c>
      <c r="M138">
        <v>3.37</v>
      </c>
    </row>
    <row r="139" spans="1:13" x14ac:dyDescent="0.25">
      <c r="A139" t="s">
        <v>310</v>
      </c>
      <c r="B139" t="s">
        <v>311</v>
      </c>
      <c r="C139" t="s">
        <v>67</v>
      </c>
      <c r="D139" t="s">
        <v>68</v>
      </c>
      <c r="E139" t="s">
        <v>32</v>
      </c>
      <c r="F139">
        <v>15</v>
      </c>
      <c r="G139">
        <v>19511737</v>
      </c>
      <c r="H139">
        <v>0</v>
      </c>
      <c r="I139" t="s">
        <v>90</v>
      </c>
      <c r="J139" t="s">
        <v>27</v>
      </c>
      <c r="K139" t="s">
        <v>44</v>
      </c>
      <c r="L139">
        <v>11.83</v>
      </c>
      <c r="M139">
        <v>13.15</v>
      </c>
    </row>
    <row r="140" spans="1:13" x14ac:dyDescent="0.25">
      <c r="A140" t="s">
        <v>312</v>
      </c>
      <c r="B140" t="s">
        <v>313</v>
      </c>
      <c r="C140" t="s">
        <v>15</v>
      </c>
      <c r="D140" t="s">
        <v>16</v>
      </c>
      <c r="E140" t="s">
        <v>32</v>
      </c>
      <c r="F140">
        <v>39</v>
      </c>
      <c r="I140" t="s">
        <v>18</v>
      </c>
      <c r="J140" t="s">
        <v>34</v>
      </c>
      <c r="K140" t="s">
        <v>44</v>
      </c>
      <c r="L140">
        <v>6.21</v>
      </c>
      <c r="M140">
        <v>7.07</v>
      </c>
    </row>
    <row r="141" spans="1:13" x14ac:dyDescent="0.25">
      <c r="A141" t="s">
        <v>314</v>
      </c>
      <c r="B141" t="s">
        <v>315</v>
      </c>
      <c r="C141" t="s">
        <v>52</v>
      </c>
      <c r="D141" t="s">
        <v>42</v>
      </c>
      <c r="E141" t="s">
        <v>25</v>
      </c>
      <c r="F141">
        <v>26</v>
      </c>
      <c r="H141">
        <v>0</v>
      </c>
      <c r="I141" t="s">
        <v>90</v>
      </c>
      <c r="J141" t="s">
        <v>27</v>
      </c>
      <c r="K141" t="s">
        <v>44</v>
      </c>
      <c r="L141">
        <v>12.99</v>
      </c>
      <c r="M141">
        <v>7.6</v>
      </c>
    </row>
    <row r="142" spans="1:13" x14ac:dyDescent="0.25">
      <c r="A142" t="s">
        <v>316</v>
      </c>
      <c r="B142" t="s">
        <v>317</v>
      </c>
      <c r="C142" t="s">
        <v>72</v>
      </c>
      <c r="D142" t="s">
        <v>61</v>
      </c>
      <c r="E142" t="s">
        <v>57</v>
      </c>
      <c r="F142">
        <v>24</v>
      </c>
      <c r="H142">
        <v>0</v>
      </c>
      <c r="I142" t="s">
        <v>26</v>
      </c>
      <c r="J142" t="s">
        <v>19</v>
      </c>
      <c r="K142" t="s">
        <v>20</v>
      </c>
      <c r="L142">
        <v>6.9</v>
      </c>
      <c r="M142">
        <v>3.3</v>
      </c>
    </row>
    <row r="143" spans="1:13" x14ac:dyDescent="0.25">
      <c r="A143" t="s">
        <v>318</v>
      </c>
      <c r="B143" t="s">
        <v>83</v>
      </c>
      <c r="C143" t="s">
        <v>67</v>
      </c>
      <c r="D143" t="s">
        <v>68</v>
      </c>
      <c r="E143" t="s">
        <v>69</v>
      </c>
      <c r="F143">
        <v>4</v>
      </c>
      <c r="H143">
        <v>0</v>
      </c>
      <c r="I143" t="s">
        <v>90</v>
      </c>
      <c r="J143" t="s">
        <v>38</v>
      </c>
      <c r="K143" t="s">
        <v>20</v>
      </c>
      <c r="L143">
        <v>11.83</v>
      </c>
      <c r="M143">
        <v>13.15</v>
      </c>
    </row>
    <row r="144" spans="1:13" x14ac:dyDescent="0.25">
      <c r="A144" t="s">
        <v>319</v>
      </c>
      <c r="B144" t="s">
        <v>114</v>
      </c>
      <c r="C144" t="s">
        <v>67</v>
      </c>
      <c r="D144" t="s">
        <v>68</v>
      </c>
      <c r="E144" t="s">
        <v>43</v>
      </c>
      <c r="F144">
        <v>9</v>
      </c>
      <c r="G144">
        <v>29840029</v>
      </c>
      <c r="I144" t="s">
        <v>26</v>
      </c>
      <c r="J144" t="s">
        <v>19</v>
      </c>
      <c r="K144" t="s">
        <v>44</v>
      </c>
      <c r="L144">
        <v>11.83</v>
      </c>
      <c r="M144">
        <v>13.15</v>
      </c>
    </row>
    <row r="145" spans="1:13" x14ac:dyDescent="0.25">
      <c r="A145" t="s">
        <v>320</v>
      </c>
      <c r="B145" t="s">
        <v>321</v>
      </c>
      <c r="C145" t="s">
        <v>64</v>
      </c>
      <c r="D145" t="s">
        <v>42</v>
      </c>
      <c r="E145" t="s">
        <v>17</v>
      </c>
      <c r="F145">
        <v>4</v>
      </c>
      <c r="G145">
        <v>109926171</v>
      </c>
      <c r="H145">
        <v>0</v>
      </c>
      <c r="I145" t="s">
        <v>33</v>
      </c>
      <c r="J145" t="s">
        <v>34</v>
      </c>
      <c r="K145" t="s">
        <v>20</v>
      </c>
      <c r="L145">
        <v>12</v>
      </c>
      <c r="M145">
        <v>8.52</v>
      </c>
    </row>
    <row r="146" spans="1:13" x14ac:dyDescent="0.25">
      <c r="A146" t="s">
        <v>322</v>
      </c>
      <c r="B146" t="s">
        <v>323</v>
      </c>
      <c r="C146" t="s">
        <v>15</v>
      </c>
      <c r="D146" t="s">
        <v>16</v>
      </c>
      <c r="E146" t="s">
        <v>49</v>
      </c>
      <c r="F146">
        <v>25</v>
      </c>
      <c r="I146" t="s">
        <v>18</v>
      </c>
      <c r="J146" t="s">
        <v>27</v>
      </c>
      <c r="K146" t="s">
        <v>20</v>
      </c>
      <c r="L146">
        <v>6.21</v>
      </c>
      <c r="M146">
        <v>7.07</v>
      </c>
    </row>
    <row r="147" spans="1:13" x14ac:dyDescent="0.25">
      <c r="A147" t="s">
        <v>324</v>
      </c>
      <c r="B147" t="s">
        <v>325</v>
      </c>
      <c r="C147" t="s">
        <v>77</v>
      </c>
      <c r="D147" t="s">
        <v>31</v>
      </c>
      <c r="E147" t="s">
        <v>32</v>
      </c>
      <c r="F147">
        <v>39</v>
      </c>
      <c r="I147" t="s">
        <v>33</v>
      </c>
      <c r="J147" t="s">
        <v>34</v>
      </c>
      <c r="K147" t="s">
        <v>44</v>
      </c>
      <c r="L147">
        <v>9.07</v>
      </c>
      <c r="M147">
        <v>7.49</v>
      </c>
    </row>
    <row r="148" spans="1:13" x14ac:dyDescent="0.25">
      <c r="A148" t="s">
        <v>326</v>
      </c>
      <c r="B148" t="s">
        <v>327</v>
      </c>
      <c r="C148" t="s">
        <v>64</v>
      </c>
      <c r="D148" t="s">
        <v>42</v>
      </c>
      <c r="E148" t="s">
        <v>25</v>
      </c>
      <c r="F148">
        <v>30</v>
      </c>
      <c r="H148">
        <v>0</v>
      </c>
      <c r="I148" t="s">
        <v>26</v>
      </c>
      <c r="J148" t="s">
        <v>27</v>
      </c>
      <c r="K148" t="s">
        <v>44</v>
      </c>
      <c r="L148">
        <v>12</v>
      </c>
      <c r="M148">
        <v>8.52</v>
      </c>
    </row>
    <row r="149" spans="1:13" x14ac:dyDescent="0.25">
      <c r="A149" t="s">
        <v>328</v>
      </c>
      <c r="B149" t="s">
        <v>256</v>
      </c>
      <c r="C149" t="s">
        <v>72</v>
      </c>
      <c r="D149" t="s">
        <v>61</v>
      </c>
      <c r="E149" t="s">
        <v>57</v>
      </c>
      <c r="F149">
        <v>18</v>
      </c>
      <c r="I149" t="s">
        <v>18</v>
      </c>
      <c r="J149" t="s">
        <v>27</v>
      </c>
      <c r="K149" t="s">
        <v>44</v>
      </c>
      <c r="L149">
        <v>6.9</v>
      </c>
      <c r="M149">
        <v>3.3</v>
      </c>
    </row>
    <row r="150" spans="1:13" x14ac:dyDescent="0.25">
      <c r="A150" t="s">
        <v>329</v>
      </c>
      <c r="B150" t="s">
        <v>330</v>
      </c>
      <c r="C150" t="s">
        <v>52</v>
      </c>
      <c r="D150" t="s">
        <v>42</v>
      </c>
      <c r="E150" t="s">
        <v>57</v>
      </c>
      <c r="F150">
        <v>9</v>
      </c>
      <c r="H150">
        <v>0</v>
      </c>
      <c r="I150" t="s">
        <v>90</v>
      </c>
      <c r="J150" t="s">
        <v>38</v>
      </c>
      <c r="K150" t="s">
        <v>20</v>
      </c>
      <c r="L150">
        <v>12.99</v>
      </c>
      <c r="M150">
        <v>7.6</v>
      </c>
    </row>
    <row r="151" spans="1:13" x14ac:dyDescent="0.25">
      <c r="A151" t="s">
        <v>331</v>
      </c>
      <c r="B151" t="s">
        <v>332</v>
      </c>
      <c r="C151" t="s">
        <v>15</v>
      </c>
      <c r="D151" t="s">
        <v>16</v>
      </c>
      <c r="E151" t="s">
        <v>17</v>
      </c>
      <c r="F151">
        <v>11</v>
      </c>
      <c r="G151">
        <v>127238751</v>
      </c>
      <c r="I151" t="s">
        <v>26</v>
      </c>
      <c r="J151" t="s">
        <v>38</v>
      </c>
      <c r="K151" t="s">
        <v>44</v>
      </c>
      <c r="L151">
        <v>6.21</v>
      </c>
      <c r="M151">
        <v>7.07</v>
      </c>
    </row>
    <row r="152" spans="1:13" x14ac:dyDescent="0.25">
      <c r="A152" t="s">
        <v>333</v>
      </c>
      <c r="B152" t="s">
        <v>334</v>
      </c>
      <c r="C152" t="s">
        <v>84</v>
      </c>
      <c r="D152" t="s">
        <v>42</v>
      </c>
      <c r="E152" t="s">
        <v>32</v>
      </c>
      <c r="F152">
        <v>13</v>
      </c>
      <c r="H152">
        <v>0</v>
      </c>
      <c r="I152" t="s">
        <v>33</v>
      </c>
      <c r="J152" t="s">
        <v>34</v>
      </c>
      <c r="K152" t="s">
        <v>20</v>
      </c>
      <c r="L152">
        <v>12.17</v>
      </c>
      <c r="M152">
        <v>6.66</v>
      </c>
    </row>
    <row r="153" spans="1:13" x14ac:dyDescent="0.25">
      <c r="A153" t="s">
        <v>335</v>
      </c>
      <c r="B153" t="s">
        <v>175</v>
      </c>
      <c r="C153" t="s">
        <v>84</v>
      </c>
      <c r="D153" t="s">
        <v>42</v>
      </c>
      <c r="E153" t="s">
        <v>32</v>
      </c>
      <c r="F153">
        <v>14</v>
      </c>
      <c r="H153">
        <v>30285729</v>
      </c>
      <c r="I153" t="s">
        <v>90</v>
      </c>
      <c r="J153" t="s">
        <v>27</v>
      </c>
      <c r="K153" t="s">
        <v>20</v>
      </c>
      <c r="L153">
        <v>12.17</v>
      </c>
      <c r="M153">
        <v>6.66</v>
      </c>
    </row>
    <row r="154" spans="1:13" x14ac:dyDescent="0.25">
      <c r="A154" t="s">
        <v>336</v>
      </c>
      <c r="B154" t="s">
        <v>337</v>
      </c>
      <c r="C154" t="s">
        <v>41</v>
      </c>
      <c r="D154" t="s">
        <v>42</v>
      </c>
      <c r="E154" t="s">
        <v>32</v>
      </c>
      <c r="F154">
        <v>23</v>
      </c>
      <c r="G154">
        <v>130909567</v>
      </c>
      <c r="I154" t="s">
        <v>90</v>
      </c>
      <c r="J154" t="s">
        <v>19</v>
      </c>
      <c r="K154" t="s">
        <v>44</v>
      </c>
      <c r="L154">
        <v>10.52</v>
      </c>
      <c r="M154">
        <v>7.44</v>
      </c>
    </row>
    <row r="155" spans="1:13" x14ac:dyDescent="0.25">
      <c r="A155" t="s">
        <v>338</v>
      </c>
      <c r="B155" t="s">
        <v>339</v>
      </c>
      <c r="C155" t="s">
        <v>37</v>
      </c>
      <c r="D155" t="s">
        <v>24</v>
      </c>
      <c r="E155" t="s">
        <v>49</v>
      </c>
      <c r="F155">
        <v>33</v>
      </c>
      <c r="G155">
        <v>44851880</v>
      </c>
      <c r="I155" t="s">
        <v>90</v>
      </c>
      <c r="J155" t="s">
        <v>38</v>
      </c>
      <c r="K155" t="s">
        <v>20</v>
      </c>
      <c r="L155">
        <v>4.75</v>
      </c>
      <c r="M155">
        <v>7.01</v>
      </c>
    </row>
    <row r="156" spans="1:13" x14ac:dyDescent="0.25">
      <c r="A156" t="s">
        <v>340</v>
      </c>
      <c r="B156" t="s">
        <v>221</v>
      </c>
      <c r="C156" t="s">
        <v>37</v>
      </c>
      <c r="D156" t="s">
        <v>24</v>
      </c>
      <c r="E156" t="s">
        <v>57</v>
      </c>
      <c r="F156">
        <v>25</v>
      </c>
      <c r="I156" t="s">
        <v>90</v>
      </c>
      <c r="J156" t="s">
        <v>27</v>
      </c>
      <c r="K156" t="s">
        <v>44</v>
      </c>
      <c r="L156">
        <v>4.75</v>
      </c>
      <c r="M156">
        <v>7.01</v>
      </c>
    </row>
    <row r="157" spans="1:13" x14ac:dyDescent="0.25">
      <c r="A157" t="s">
        <v>341</v>
      </c>
      <c r="B157" t="s">
        <v>342</v>
      </c>
      <c r="C157" t="s">
        <v>84</v>
      </c>
      <c r="D157" t="s">
        <v>42</v>
      </c>
      <c r="E157" t="s">
        <v>25</v>
      </c>
      <c r="F157">
        <v>31</v>
      </c>
      <c r="G157">
        <v>120324844</v>
      </c>
      <c r="I157" t="s">
        <v>26</v>
      </c>
      <c r="J157" t="s">
        <v>38</v>
      </c>
      <c r="K157" t="s">
        <v>20</v>
      </c>
      <c r="L157">
        <v>12.17</v>
      </c>
      <c r="M157">
        <v>6.66</v>
      </c>
    </row>
    <row r="158" spans="1:13" x14ac:dyDescent="0.25">
      <c r="A158" t="s">
        <v>343</v>
      </c>
      <c r="B158" t="s">
        <v>344</v>
      </c>
      <c r="C158" t="s">
        <v>60</v>
      </c>
      <c r="D158" t="s">
        <v>61</v>
      </c>
      <c r="E158" t="s">
        <v>57</v>
      </c>
      <c r="F158">
        <v>10</v>
      </c>
      <c r="G158">
        <v>76795835</v>
      </c>
      <c r="I158" t="s">
        <v>26</v>
      </c>
      <c r="J158" t="s">
        <v>27</v>
      </c>
      <c r="K158" t="s">
        <v>20</v>
      </c>
      <c r="L158">
        <v>7.38</v>
      </c>
      <c r="M158">
        <v>3.93</v>
      </c>
    </row>
    <row r="159" spans="1:13" x14ac:dyDescent="0.25">
      <c r="A159" t="s">
        <v>345</v>
      </c>
      <c r="B159" t="s">
        <v>346</v>
      </c>
      <c r="C159" t="s">
        <v>41</v>
      </c>
      <c r="D159" t="s">
        <v>42</v>
      </c>
      <c r="E159" t="s">
        <v>25</v>
      </c>
      <c r="F159">
        <v>24</v>
      </c>
      <c r="G159">
        <v>80203486</v>
      </c>
      <c r="H159">
        <v>0</v>
      </c>
      <c r="I159" t="s">
        <v>18</v>
      </c>
      <c r="J159" t="s">
        <v>27</v>
      </c>
      <c r="K159" t="s">
        <v>20</v>
      </c>
      <c r="L159">
        <v>10.52</v>
      </c>
      <c r="M159">
        <v>7.44</v>
      </c>
    </row>
    <row r="160" spans="1:13" x14ac:dyDescent="0.25">
      <c r="A160" t="s">
        <v>347</v>
      </c>
      <c r="B160" t="s">
        <v>348</v>
      </c>
      <c r="C160" t="s">
        <v>72</v>
      </c>
      <c r="D160" t="s">
        <v>61</v>
      </c>
      <c r="E160" t="s">
        <v>17</v>
      </c>
      <c r="F160">
        <v>2</v>
      </c>
      <c r="G160">
        <v>65043174</v>
      </c>
      <c r="I160" t="s">
        <v>26</v>
      </c>
      <c r="J160" t="s">
        <v>19</v>
      </c>
      <c r="K160" t="s">
        <v>44</v>
      </c>
      <c r="L160">
        <v>6.9</v>
      </c>
      <c r="M160">
        <v>3.3</v>
      </c>
    </row>
    <row r="161" spans="1:13" x14ac:dyDescent="0.25">
      <c r="A161" t="s">
        <v>349</v>
      </c>
      <c r="B161" t="s">
        <v>350</v>
      </c>
      <c r="C161" t="s">
        <v>41</v>
      </c>
      <c r="D161" t="s">
        <v>42</v>
      </c>
      <c r="E161" t="s">
        <v>69</v>
      </c>
      <c r="F161">
        <v>19</v>
      </c>
      <c r="H161">
        <v>0</v>
      </c>
      <c r="I161" t="s">
        <v>18</v>
      </c>
      <c r="J161" t="s">
        <v>27</v>
      </c>
      <c r="K161" t="s">
        <v>44</v>
      </c>
      <c r="L161">
        <v>10.52</v>
      </c>
      <c r="M161">
        <v>7.44</v>
      </c>
    </row>
    <row r="162" spans="1:13" x14ac:dyDescent="0.25">
      <c r="A162" t="s">
        <v>351</v>
      </c>
      <c r="B162" t="s">
        <v>352</v>
      </c>
      <c r="C162" t="s">
        <v>23</v>
      </c>
      <c r="D162" t="s">
        <v>24</v>
      </c>
      <c r="E162" t="s">
        <v>17</v>
      </c>
      <c r="F162">
        <v>29</v>
      </c>
      <c r="H162">
        <v>49108899</v>
      </c>
      <c r="I162" t="s">
        <v>18</v>
      </c>
      <c r="J162" t="s">
        <v>34</v>
      </c>
      <c r="K162" t="s">
        <v>44</v>
      </c>
      <c r="L162">
        <v>5.7</v>
      </c>
      <c r="M162">
        <v>5.9</v>
      </c>
    </row>
    <row r="163" spans="1:13" x14ac:dyDescent="0.25">
      <c r="A163" t="s">
        <v>353</v>
      </c>
      <c r="B163" t="s">
        <v>354</v>
      </c>
      <c r="C163" t="s">
        <v>64</v>
      </c>
      <c r="D163" t="s">
        <v>42</v>
      </c>
      <c r="E163" t="s">
        <v>69</v>
      </c>
      <c r="F163">
        <v>1</v>
      </c>
      <c r="G163">
        <v>18781160</v>
      </c>
      <c r="I163" t="s">
        <v>33</v>
      </c>
      <c r="J163" t="s">
        <v>34</v>
      </c>
      <c r="K163" t="s">
        <v>20</v>
      </c>
      <c r="L163">
        <v>12</v>
      </c>
      <c r="M163">
        <v>8.52</v>
      </c>
    </row>
    <row r="164" spans="1:13" x14ac:dyDescent="0.25">
      <c r="A164" t="s">
        <v>355</v>
      </c>
      <c r="B164" t="s">
        <v>356</v>
      </c>
      <c r="C164" t="s">
        <v>52</v>
      </c>
      <c r="D164" t="s">
        <v>42</v>
      </c>
      <c r="E164" t="s">
        <v>49</v>
      </c>
      <c r="F164">
        <v>18</v>
      </c>
      <c r="G164">
        <v>82345183</v>
      </c>
      <c r="I164" t="s">
        <v>33</v>
      </c>
      <c r="J164" t="s">
        <v>34</v>
      </c>
      <c r="K164" t="s">
        <v>20</v>
      </c>
      <c r="L164">
        <v>12.99</v>
      </c>
      <c r="M164">
        <v>7.6</v>
      </c>
    </row>
    <row r="165" spans="1:13" x14ac:dyDescent="0.25">
      <c r="A165" t="s">
        <v>357</v>
      </c>
      <c r="B165" t="s">
        <v>29</v>
      </c>
      <c r="C165" t="s">
        <v>37</v>
      </c>
      <c r="D165" t="s">
        <v>24</v>
      </c>
      <c r="E165" t="s">
        <v>49</v>
      </c>
      <c r="F165">
        <v>23</v>
      </c>
      <c r="H165">
        <v>77323347</v>
      </c>
      <c r="I165" t="s">
        <v>18</v>
      </c>
      <c r="J165" t="s">
        <v>34</v>
      </c>
      <c r="K165" t="s">
        <v>20</v>
      </c>
      <c r="L165">
        <v>4.75</v>
      </c>
      <c r="M165">
        <v>7.01</v>
      </c>
    </row>
    <row r="166" spans="1:13" x14ac:dyDescent="0.25">
      <c r="A166" t="s">
        <v>358</v>
      </c>
      <c r="B166" t="s">
        <v>234</v>
      </c>
      <c r="C166" t="s">
        <v>30</v>
      </c>
      <c r="D166" t="s">
        <v>31</v>
      </c>
      <c r="E166" t="s">
        <v>49</v>
      </c>
      <c r="F166">
        <v>16</v>
      </c>
      <c r="H166">
        <v>40489202</v>
      </c>
      <c r="I166" t="s">
        <v>18</v>
      </c>
      <c r="J166" t="s">
        <v>27</v>
      </c>
      <c r="K166" t="s">
        <v>20</v>
      </c>
      <c r="L166">
        <v>7.73</v>
      </c>
      <c r="M166">
        <v>8.5399999999999991</v>
      </c>
    </row>
    <row r="167" spans="1:13" x14ac:dyDescent="0.25">
      <c r="A167" t="s">
        <v>359</v>
      </c>
      <c r="B167" t="s">
        <v>298</v>
      </c>
      <c r="C167" t="s">
        <v>52</v>
      </c>
      <c r="D167" t="s">
        <v>42</v>
      </c>
      <c r="E167" t="s">
        <v>32</v>
      </c>
      <c r="F167">
        <v>20</v>
      </c>
      <c r="G167">
        <v>35249585</v>
      </c>
      <c r="I167" t="s">
        <v>26</v>
      </c>
      <c r="J167" t="s">
        <v>34</v>
      </c>
      <c r="K167" t="s">
        <v>44</v>
      </c>
      <c r="L167">
        <v>12.99</v>
      </c>
      <c r="M167">
        <v>7.6</v>
      </c>
    </row>
    <row r="168" spans="1:13" x14ac:dyDescent="0.25">
      <c r="A168" t="s">
        <v>360</v>
      </c>
      <c r="B168" t="s">
        <v>361</v>
      </c>
      <c r="C168" t="s">
        <v>67</v>
      </c>
      <c r="D168" t="s">
        <v>68</v>
      </c>
      <c r="E168" t="s">
        <v>57</v>
      </c>
      <c r="F168">
        <v>39</v>
      </c>
      <c r="G168">
        <v>137115873</v>
      </c>
      <c r="H168">
        <v>79313286</v>
      </c>
      <c r="I168" t="s">
        <v>26</v>
      </c>
      <c r="J168" t="s">
        <v>19</v>
      </c>
      <c r="K168" t="s">
        <v>20</v>
      </c>
      <c r="L168">
        <v>11.83</v>
      </c>
      <c r="M168">
        <v>13.15</v>
      </c>
    </row>
    <row r="169" spans="1:13" x14ac:dyDescent="0.25">
      <c r="A169" t="s">
        <v>362</v>
      </c>
      <c r="B169" t="s">
        <v>363</v>
      </c>
      <c r="C169" t="s">
        <v>41</v>
      </c>
      <c r="D169" t="s">
        <v>42</v>
      </c>
      <c r="E169" t="s">
        <v>43</v>
      </c>
      <c r="F169">
        <v>21</v>
      </c>
      <c r="H169">
        <v>0</v>
      </c>
      <c r="I169" t="s">
        <v>90</v>
      </c>
      <c r="J169" t="s">
        <v>38</v>
      </c>
      <c r="K169" t="s">
        <v>20</v>
      </c>
      <c r="L169">
        <v>10.52</v>
      </c>
      <c r="M169">
        <v>7.44</v>
      </c>
    </row>
    <row r="170" spans="1:13" x14ac:dyDescent="0.25">
      <c r="A170" t="s">
        <v>364</v>
      </c>
      <c r="B170" t="s">
        <v>365</v>
      </c>
      <c r="C170" t="s">
        <v>64</v>
      </c>
      <c r="D170" t="s">
        <v>42</v>
      </c>
      <c r="E170" t="s">
        <v>69</v>
      </c>
      <c r="F170">
        <v>8</v>
      </c>
      <c r="I170" t="s">
        <v>26</v>
      </c>
      <c r="J170" t="s">
        <v>34</v>
      </c>
      <c r="K170" t="s">
        <v>20</v>
      </c>
      <c r="L170">
        <v>12</v>
      </c>
      <c r="M170">
        <v>8.52</v>
      </c>
    </row>
    <row r="171" spans="1:13" x14ac:dyDescent="0.25">
      <c r="A171" t="s">
        <v>366</v>
      </c>
      <c r="B171" t="s">
        <v>367</v>
      </c>
      <c r="C171" t="s">
        <v>60</v>
      </c>
      <c r="D171" t="s">
        <v>61</v>
      </c>
      <c r="E171" t="s">
        <v>57</v>
      </c>
      <c r="F171">
        <v>8</v>
      </c>
      <c r="H171">
        <v>0</v>
      </c>
      <c r="I171" t="s">
        <v>33</v>
      </c>
      <c r="J171" t="s">
        <v>34</v>
      </c>
      <c r="K171" t="s">
        <v>20</v>
      </c>
      <c r="L171">
        <v>7.38</v>
      </c>
      <c r="M171">
        <v>3.93</v>
      </c>
    </row>
    <row r="172" spans="1:13" x14ac:dyDescent="0.25">
      <c r="A172" t="s">
        <v>368</v>
      </c>
      <c r="B172" t="s">
        <v>369</v>
      </c>
      <c r="C172" t="s">
        <v>52</v>
      </c>
      <c r="D172" t="s">
        <v>42</v>
      </c>
      <c r="E172" t="s">
        <v>32</v>
      </c>
      <c r="F172">
        <v>39</v>
      </c>
      <c r="I172" t="s">
        <v>26</v>
      </c>
      <c r="J172" t="s">
        <v>19</v>
      </c>
      <c r="K172" t="s">
        <v>20</v>
      </c>
      <c r="L172">
        <v>12.99</v>
      </c>
      <c r="M172">
        <v>7.6</v>
      </c>
    </row>
    <row r="173" spans="1:13" x14ac:dyDescent="0.25">
      <c r="A173" t="s">
        <v>370</v>
      </c>
      <c r="B173" t="s">
        <v>371</v>
      </c>
      <c r="C173" t="s">
        <v>23</v>
      </c>
      <c r="D173" t="s">
        <v>24</v>
      </c>
      <c r="E173" t="s">
        <v>17</v>
      </c>
      <c r="F173">
        <v>20</v>
      </c>
      <c r="G173">
        <v>70344331</v>
      </c>
      <c r="H173">
        <v>0</v>
      </c>
      <c r="I173" t="s">
        <v>33</v>
      </c>
      <c r="J173" t="s">
        <v>27</v>
      </c>
      <c r="K173" t="s">
        <v>44</v>
      </c>
      <c r="L173">
        <v>5.7</v>
      </c>
      <c r="M173">
        <v>5.9</v>
      </c>
    </row>
    <row r="174" spans="1:13" x14ac:dyDescent="0.25">
      <c r="A174" t="s">
        <v>372</v>
      </c>
      <c r="B174" t="s">
        <v>83</v>
      </c>
      <c r="C174" t="s">
        <v>37</v>
      </c>
      <c r="D174" t="s">
        <v>24</v>
      </c>
      <c r="E174" t="s">
        <v>69</v>
      </c>
      <c r="F174">
        <v>23</v>
      </c>
      <c r="H174">
        <v>65790798</v>
      </c>
      <c r="I174" t="s">
        <v>26</v>
      </c>
      <c r="J174" t="s">
        <v>38</v>
      </c>
      <c r="K174" t="s">
        <v>20</v>
      </c>
      <c r="L174">
        <v>4.75</v>
      </c>
      <c r="M174">
        <v>7.01</v>
      </c>
    </row>
    <row r="175" spans="1:13" x14ac:dyDescent="0.25">
      <c r="A175" t="s">
        <v>373</v>
      </c>
      <c r="B175" t="s">
        <v>374</v>
      </c>
      <c r="C175" t="s">
        <v>77</v>
      </c>
      <c r="D175" t="s">
        <v>31</v>
      </c>
      <c r="E175" t="s">
        <v>43</v>
      </c>
      <c r="F175">
        <v>22</v>
      </c>
      <c r="H175">
        <v>0</v>
      </c>
      <c r="I175" t="s">
        <v>26</v>
      </c>
      <c r="J175" t="s">
        <v>19</v>
      </c>
      <c r="K175" t="s">
        <v>20</v>
      </c>
      <c r="L175">
        <v>9.07</v>
      </c>
      <c r="M175">
        <v>7.49</v>
      </c>
    </row>
    <row r="176" spans="1:13" x14ac:dyDescent="0.25">
      <c r="A176" t="s">
        <v>375</v>
      </c>
      <c r="B176" t="s">
        <v>376</v>
      </c>
      <c r="C176" t="s">
        <v>84</v>
      </c>
      <c r="D176" t="s">
        <v>42</v>
      </c>
      <c r="E176" t="s">
        <v>49</v>
      </c>
      <c r="F176">
        <v>29</v>
      </c>
      <c r="G176">
        <v>134627793</v>
      </c>
      <c r="H176">
        <v>0</v>
      </c>
      <c r="I176" t="s">
        <v>33</v>
      </c>
      <c r="J176" t="s">
        <v>19</v>
      </c>
      <c r="K176" t="s">
        <v>44</v>
      </c>
      <c r="L176">
        <v>12.17</v>
      </c>
      <c r="M176">
        <v>6.66</v>
      </c>
    </row>
    <row r="177" spans="1:13" x14ac:dyDescent="0.25">
      <c r="A177" t="s">
        <v>377</v>
      </c>
      <c r="B177" t="s">
        <v>378</v>
      </c>
      <c r="C177" t="s">
        <v>84</v>
      </c>
      <c r="D177" t="s">
        <v>42</v>
      </c>
      <c r="E177" t="s">
        <v>57</v>
      </c>
      <c r="F177">
        <v>31</v>
      </c>
      <c r="G177">
        <v>73478224</v>
      </c>
      <c r="H177">
        <v>0</v>
      </c>
      <c r="I177" t="s">
        <v>33</v>
      </c>
      <c r="J177" t="s">
        <v>34</v>
      </c>
      <c r="K177" t="s">
        <v>20</v>
      </c>
      <c r="L177">
        <v>12.17</v>
      </c>
      <c r="M177">
        <v>6.66</v>
      </c>
    </row>
    <row r="178" spans="1:13" x14ac:dyDescent="0.25">
      <c r="A178" t="s">
        <v>379</v>
      </c>
      <c r="B178" t="s">
        <v>380</v>
      </c>
      <c r="C178" t="s">
        <v>15</v>
      </c>
      <c r="D178" t="s">
        <v>16</v>
      </c>
      <c r="E178" t="s">
        <v>57</v>
      </c>
      <c r="F178">
        <v>16</v>
      </c>
      <c r="H178">
        <v>0</v>
      </c>
      <c r="I178" t="s">
        <v>18</v>
      </c>
      <c r="J178" t="s">
        <v>19</v>
      </c>
      <c r="K178" t="s">
        <v>20</v>
      </c>
      <c r="L178">
        <v>6.21</v>
      </c>
      <c r="M178">
        <v>7.07</v>
      </c>
    </row>
    <row r="179" spans="1:13" x14ac:dyDescent="0.25">
      <c r="A179" t="s">
        <v>381</v>
      </c>
      <c r="B179" t="s">
        <v>261</v>
      </c>
      <c r="C179" t="s">
        <v>72</v>
      </c>
      <c r="D179" t="s">
        <v>61</v>
      </c>
      <c r="E179" t="s">
        <v>25</v>
      </c>
      <c r="F179">
        <v>12</v>
      </c>
      <c r="G179">
        <v>134503021</v>
      </c>
      <c r="H179">
        <v>0</v>
      </c>
      <c r="I179" t="s">
        <v>90</v>
      </c>
      <c r="J179" t="s">
        <v>34</v>
      </c>
      <c r="K179" t="s">
        <v>20</v>
      </c>
      <c r="L179">
        <v>6.9</v>
      </c>
      <c r="M179">
        <v>3.3</v>
      </c>
    </row>
    <row r="180" spans="1:13" x14ac:dyDescent="0.25">
      <c r="A180" t="s">
        <v>382</v>
      </c>
      <c r="B180" t="s">
        <v>383</v>
      </c>
      <c r="C180" t="s">
        <v>84</v>
      </c>
      <c r="D180" t="s">
        <v>42</v>
      </c>
      <c r="E180" t="s">
        <v>25</v>
      </c>
      <c r="F180">
        <v>9</v>
      </c>
      <c r="I180" t="s">
        <v>90</v>
      </c>
      <c r="J180" t="s">
        <v>38</v>
      </c>
      <c r="K180" t="s">
        <v>44</v>
      </c>
      <c r="L180">
        <v>12.17</v>
      </c>
      <c r="M180">
        <v>6.66</v>
      </c>
    </row>
    <row r="181" spans="1:13" x14ac:dyDescent="0.25">
      <c r="A181" t="s">
        <v>384</v>
      </c>
      <c r="B181" t="s">
        <v>288</v>
      </c>
      <c r="C181" t="s">
        <v>15</v>
      </c>
      <c r="D181" t="s">
        <v>16</v>
      </c>
      <c r="E181" t="s">
        <v>32</v>
      </c>
      <c r="F181">
        <v>27</v>
      </c>
      <c r="H181">
        <v>36989778</v>
      </c>
      <c r="I181" t="s">
        <v>90</v>
      </c>
      <c r="J181" t="s">
        <v>38</v>
      </c>
      <c r="K181" t="s">
        <v>20</v>
      </c>
      <c r="L181">
        <v>6.21</v>
      </c>
      <c r="M181">
        <v>7.07</v>
      </c>
    </row>
    <row r="182" spans="1:13" x14ac:dyDescent="0.25">
      <c r="A182" t="s">
        <v>385</v>
      </c>
      <c r="B182" t="s">
        <v>386</v>
      </c>
      <c r="C182" t="s">
        <v>15</v>
      </c>
      <c r="D182" t="s">
        <v>16</v>
      </c>
      <c r="E182" t="s">
        <v>17</v>
      </c>
      <c r="F182">
        <v>17</v>
      </c>
      <c r="G182">
        <v>116825347</v>
      </c>
      <c r="I182" t="s">
        <v>33</v>
      </c>
      <c r="J182" t="s">
        <v>27</v>
      </c>
      <c r="K182" t="s">
        <v>44</v>
      </c>
      <c r="L182">
        <v>6.21</v>
      </c>
      <c r="M182">
        <v>7.07</v>
      </c>
    </row>
    <row r="183" spans="1:13" x14ac:dyDescent="0.25">
      <c r="A183" t="s">
        <v>387</v>
      </c>
      <c r="B183" t="s">
        <v>286</v>
      </c>
      <c r="C183" t="s">
        <v>87</v>
      </c>
      <c r="D183" t="s">
        <v>61</v>
      </c>
      <c r="E183" t="s">
        <v>25</v>
      </c>
      <c r="F183">
        <v>31</v>
      </c>
      <c r="G183">
        <v>144315130</v>
      </c>
      <c r="H183">
        <v>10059226</v>
      </c>
      <c r="I183" t="s">
        <v>26</v>
      </c>
      <c r="J183" t="s">
        <v>19</v>
      </c>
      <c r="K183" t="s">
        <v>44</v>
      </c>
      <c r="L183">
        <v>6.52</v>
      </c>
      <c r="M183">
        <v>3.37</v>
      </c>
    </row>
    <row r="184" spans="1:13" x14ac:dyDescent="0.25">
      <c r="A184" t="s">
        <v>388</v>
      </c>
      <c r="B184" t="s">
        <v>354</v>
      </c>
      <c r="C184" t="s">
        <v>37</v>
      </c>
      <c r="D184" t="s">
        <v>24</v>
      </c>
      <c r="E184" t="s">
        <v>69</v>
      </c>
      <c r="F184">
        <v>27</v>
      </c>
      <c r="I184" t="s">
        <v>18</v>
      </c>
      <c r="J184" t="s">
        <v>19</v>
      </c>
      <c r="K184" t="s">
        <v>20</v>
      </c>
      <c r="L184">
        <v>4.75</v>
      </c>
      <c r="M184">
        <v>7.01</v>
      </c>
    </row>
    <row r="185" spans="1:13" x14ac:dyDescent="0.25">
      <c r="A185" t="s">
        <v>389</v>
      </c>
      <c r="B185" t="s">
        <v>390</v>
      </c>
      <c r="C185" t="s">
        <v>64</v>
      </c>
      <c r="D185" t="s">
        <v>42</v>
      </c>
      <c r="E185" t="s">
        <v>69</v>
      </c>
      <c r="F185">
        <v>29</v>
      </c>
      <c r="H185">
        <v>0</v>
      </c>
      <c r="I185" t="s">
        <v>26</v>
      </c>
      <c r="J185" t="s">
        <v>27</v>
      </c>
      <c r="K185" t="s">
        <v>20</v>
      </c>
      <c r="L185">
        <v>12</v>
      </c>
      <c r="M185">
        <v>8.52</v>
      </c>
    </row>
    <row r="186" spans="1:13" x14ac:dyDescent="0.25">
      <c r="A186" t="s">
        <v>391</v>
      </c>
      <c r="B186" t="s">
        <v>392</v>
      </c>
      <c r="C186" t="s">
        <v>15</v>
      </c>
      <c r="D186" t="s">
        <v>16</v>
      </c>
      <c r="E186" t="s">
        <v>32</v>
      </c>
      <c r="F186">
        <v>9</v>
      </c>
      <c r="G186">
        <v>146174916</v>
      </c>
      <c r="H186">
        <v>0</v>
      </c>
      <c r="I186" t="s">
        <v>90</v>
      </c>
      <c r="J186" t="s">
        <v>34</v>
      </c>
      <c r="K186" t="s">
        <v>44</v>
      </c>
      <c r="L186">
        <v>6.21</v>
      </c>
      <c r="M186">
        <v>7.07</v>
      </c>
    </row>
    <row r="187" spans="1:13" x14ac:dyDescent="0.25">
      <c r="A187" t="s">
        <v>393</v>
      </c>
      <c r="B187" t="s">
        <v>394</v>
      </c>
      <c r="C187" t="s">
        <v>67</v>
      </c>
      <c r="D187" t="s">
        <v>68</v>
      </c>
      <c r="E187" t="s">
        <v>17</v>
      </c>
      <c r="F187">
        <v>30</v>
      </c>
      <c r="G187">
        <v>116897162</v>
      </c>
      <c r="I187" t="s">
        <v>33</v>
      </c>
      <c r="J187" t="s">
        <v>19</v>
      </c>
      <c r="K187" t="s">
        <v>44</v>
      </c>
      <c r="L187">
        <v>11.83</v>
      </c>
      <c r="M187">
        <v>13.15</v>
      </c>
    </row>
    <row r="188" spans="1:13" x14ac:dyDescent="0.25">
      <c r="A188" t="s">
        <v>395</v>
      </c>
      <c r="B188" t="s">
        <v>396</v>
      </c>
      <c r="C188" t="s">
        <v>37</v>
      </c>
      <c r="D188" t="s">
        <v>24</v>
      </c>
      <c r="E188" t="s">
        <v>32</v>
      </c>
      <c r="F188">
        <v>26</v>
      </c>
      <c r="G188">
        <v>17821350</v>
      </c>
      <c r="H188">
        <v>64904546</v>
      </c>
      <c r="I188" t="s">
        <v>90</v>
      </c>
      <c r="J188" t="s">
        <v>19</v>
      </c>
      <c r="K188" t="s">
        <v>44</v>
      </c>
      <c r="L188">
        <v>4.75</v>
      </c>
      <c r="M188">
        <v>7.01</v>
      </c>
    </row>
    <row r="189" spans="1:13" x14ac:dyDescent="0.25">
      <c r="A189" t="s">
        <v>397</v>
      </c>
      <c r="B189" t="s">
        <v>354</v>
      </c>
      <c r="C189" t="s">
        <v>30</v>
      </c>
      <c r="D189" t="s">
        <v>31</v>
      </c>
      <c r="E189" t="s">
        <v>57</v>
      </c>
      <c r="F189">
        <v>40</v>
      </c>
      <c r="H189">
        <v>10528032</v>
      </c>
      <c r="I189" t="s">
        <v>90</v>
      </c>
      <c r="J189" t="s">
        <v>38</v>
      </c>
      <c r="K189" t="s">
        <v>44</v>
      </c>
      <c r="L189">
        <v>7.73</v>
      </c>
      <c r="M189">
        <v>8.5399999999999991</v>
      </c>
    </row>
    <row r="190" spans="1:13" x14ac:dyDescent="0.25">
      <c r="A190" t="s">
        <v>398</v>
      </c>
      <c r="B190" t="s">
        <v>221</v>
      </c>
      <c r="C190" t="s">
        <v>67</v>
      </c>
      <c r="D190" t="s">
        <v>68</v>
      </c>
      <c r="E190" t="s">
        <v>25</v>
      </c>
      <c r="F190">
        <v>35</v>
      </c>
      <c r="G190">
        <v>11743618</v>
      </c>
      <c r="I190" t="s">
        <v>26</v>
      </c>
      <c r="J190" t="s">
        <v>27</v>
      </c>
      <c r="K190" t="s">
        <v>44</v>
      </c>
      <c r="L190">
        <v>11.83</v>
      </c>
      <c r="M190">
        <v>13.15</v>
      </c>
    </row>
    <row r="191" spans="1:13" x14ac:dyDescent="0.25">
      <c r="A191" t="s">
        <v>399</v>
      </c>
      <c r="B191" t="s">
        <v>288</v>
      </c>
      <c r="C191" t="s">
        <v>84</v>
      </c>
      <c r="D191" t="s">
        <v>42</v>
      </c>
      <c r="E191" t="s">
        <v>25</v>
      </c>
      <c r="F191">
        <v>40</v>
      </c>
      <c r="G191">
        <v>20081604</v>
      </c>
      <c r="H191">
        <v>0</v>
      </c>
      <c r="I191" t="s">
        <v>33</v>
      </c>
      <c r="J191" t="s">
        <v>38</v>
      </c>
      <c r="K191" t="s">
        <v>44</v>
      </c>
      <c r="L191">
        <v>12.17</v>
      </c>
      <c r="M191">
        <v>6.66</v>
      </c>
    </row>
    <row r="192" spans="1:13" x14ac:dyDescent="0.25">
      <c r="A192" t="s">
        <v>400</v>
      </c>
      <c r="B192" t="s">
        <v>401</v>
      </c>
      <c r="C192" t="s">
        <v>77</v>
      </c>
      <c r="D192" t="s">
        <v>31</v>
      </c>
      <c r="E192" t="s">
        <v>17</v>
      </c>
      <c r="F192">
        <v>12</v>
      </c>
      <c r="I192" t="s">
        <v>33</v>
      </c>
      <c r="J192" t="s">
        <v>34</v>
      </c>
      <c r="K192" t="s">
        <v>20</v>
      </c>
      <c r="L192">
        <v>9.07</v>
      </c>
      <c r="M192">
        <v>7.49</v>
      </c>
    </row>
    <row r="193" spans="1:13" x14ac:dyDescent="0.25">
      <c r="A193" t="s">
        <v>402</v>
      </c>
      <c r="B193" t="s">
        <v>403</v>
      </c>
      <c r="C193" t="s">
        <v>52</v>
      </c>
      <c r="D193" t="s">
        <v>42</v>
      </c>
      <c r="E193" t="s">
        <v>32</v>
      </c>
      <c r="F193">
        <v>10</v>
      </c>
      <c r="H193">
        <v>78900046</v>
      </c>
      <c r="I193" t="s">
        <v>26</v>
      </c>
      <c r="J193" t="s">
        <v>27</v>
      </c>
      <c r="K193" t="s">
        <v>20</v>
      </c>
      <c r="L193">
        <v>12.99</v>
      </c>
      <c r="M193">
        <v>7.6</v>
      </c>
    </row>
    <row r="194" spans="1:13" x14ac:dyDescent="0.25">
      <c r="A194" t="s">
        <v>404</v>
      </c>
      <c r="B194" t="s">
        <v>350</v>
      </c>
      <c r="C194" t="s">
        <v>67</v>
      </c>
      <c r="D194" t="s">
        <v>68</v>
      </c>
      <c r="E194" t="s">
        <v>57</v>
      </c>
      <c r="F194">
        <v>37</v>
      </c>
      <c r="G194">
        <v>104511115</v>
      </c>
      <c r="H194">
        <v>88701613</v>
      </c>
      <c r="I194" t="s">
        <v>26</v>
      </c>
      <c r="J194" t="s">
        <v>27</v>
      </c>
      <c r="K194" t="s">
        <v>44</v>
      </c>
      <c r="L194">
        <v>11.83</v>
      </c>
      <c r="M194">
        <v>13.15</v>
      </c>
    </row>
    <row r="195" spans="1:13" x14ac:dyDescent="0.25">
      <c r="A195" t="s">
        <v>405</v>
      </c>
      <c r="B195" t="s">
        <v>390</v>
      </c>
      <c r="C195" t="s">
        <v>84</v>
      </c>
      <c r="D195" t="s">
        <v>42</v>
      </c>
      <c r="E195" t="s">
        <v>49</v>
      </c>
      <c r="F195">
        <v>20</v>
      </c>
      <c r="I195" t="s">
        <v>26</v>
      </c>
      <c r="J195" t="s">
        <v>34</v>
      </c>
      <c r="K195" t="s">
        <v>44</v>
      </c>
      <c r="L195">
        <v>12.17</v>
      </c>
      <c r="M195">
        <v>6.66</v>
      </c>
    </row>
    <row r="196" spans="1:13" x14ac:dyDescent="0.25">
      <c r="A196" t="s">
        <v>406</v>
      </c>
      <c r="B196" t="s">
        <v>407</v>
      </c>
      <c r="C196" t="s">
        <v>77</v>
      </c>
      <c r="D196" t="s">
        <v>31</v>
      </c>
      <c r="E196" t="s">
        <v>17</v>
      </c>
      <c r="F196">
        <v>26</v>
      </c>
      <c r="H196">
        <v>0</v>
      </c>
      <c r="I196" t="s">
        <v>18</v>
      </c>
      <c r="J196" t="s">
        <v>19</v>
      </c>
      <c r="K196" t="s">
        <v>20</v>
      </c>
      <c r="L196">
        <v>9.07</v>
      </c>
      <c r="M196">
        <v>7.49</v>
      </c>
    </row>
    <row r="197" spans="1:13" x14ac:dyDescent="0.25">
      <c r="A197" t="s">
        <v>408</v>
      </c>
      <c r="B197" t="s">
        <v>409</v>
      </c>
      <c r="C197" t="s">
        <v>84</v>
      </c>
      <c r="D197" t="s">
        <v>42</v>
      </c>
      <c r="E197" t="s">
        <v>57</v>
      </c>
      <c r="F197">
        <v>6</v>
      </c>
      <c r="H197">
        <v>0</v>
      </c>
      <c r="I197" t="s">
        <v>33</v>
      </c>
      <c r="J197" t="s">
        <v>19</v>
      </c>
      <c r="K197" t="s">
        <v>20</v>
      </c>
      <c r="L197">
        <v>12.17</v>
      </c>
      <c r="M197">
        <v>6.66</v>
      </c>
    </row>
    <row r="198" spans="1:13" x14ac:dyDescent="0.25">
      <c r="A198" t="s">
        <v>410</v>
      </c>
      <c r="B198" t="s">
        <v>276</v>
      </c>
      <c r="C198" t="s">
        <v>84</v>
      </c>
      <c r="D198" t="s">
        <v>42</v>
      </c>
      <c r="E198" t="s">
        <v>57</v>
      </c>
      <c r="F198">
        <v>27</v>
      </c>
      <c r="I198" t="s">
        <v>33</v>
      </c>
      <c r="J198" t="s">
        <v>27</v>
      </c>
      <c r="K198" t="s">
        <v>44</v>
      </c>
      <c r="L198">
        <v>12.17</v>
      </c>
      <c r="M198">
        <v>6.66</v>
      </c>
    </row>
    <row r="199" spans="1:13" x14ac:dyDescent="0.25">
      <c r="A199" t="s">
        <v>411</v>
      </c>
      <c r="B199" t="s">
        <v>412</v>
      </c>
      <c r="C199" t="s">
        <v>52</v>
      </c>
      <c r="D199" t="s">
        <v>42</v>
      </c>
      <c r="E199" t="s">
        <v>32</v>
      </c>
      <c r="F199">
        <v>5</v>
      </c>
      <c r="I199" t="s">
        <v>33</v>
      </c>
      <c r="J199" t="s">
        <v>38</v>
      </c>
      <c r="K199" t="s">
        <v>44</v>
      </c>
      <c r="L199">
        <v>12.99</v>
      </c>
      <c r="M199">
        <v>7.6</v>
      </c>
    </row>
    <row r="200" spans="1:13" x14ac:dyDescent="0.25">
      <c r="A200" t="s">
        <v>413</v>
      </c>
      <c r="B200" t="s">
        <v>414</v>
      </c>
      <c r="C200" t="s">
        <v>52</v>
      </c>
      <c r="D200" t="s">
        <v>42</v>
      </c>
      <c r="E200" t="s">
        <v>49</v>
      </c>
      <c r="F200">
        <v>4</v>
      </c>
      <c r="G200">
        <v>147203339</v>
      </c>
      <c r="H200">
        <v>95400710</v>
      </c>
      <c r="I200" t="s">
        <v>26</v>
      </c>
      <c r="J200" t="s">
        <v>27</v>
      </c>
      <c r="K200" t="s">
        <v>44</v>
      </c>
      <c r="L200">
        <v>12.99</v>
      </c>
      <c r="M200">
        <v>7.6</v>
      </c>
    </row>
    <row r="201" spans="1:13" x14ac:dyDescent="0.25">
      <c r="A201" t="s">
        <v>415</v>
      </c>
      <c r="B201" t="s">
        <v>173</v>
      </c>
      <c r="C201" t="s">
        <v>77</v>
      </c>
      <c r="D201" t="s">
        <v>31</v>
      </c>
      <c r="E201" t="s">
        <v>25</v>
      </c>
      <c r="F201">
        <v>32</v>
      </c>
      <c r="H201">
        <v>0</v>
      </c>
      <c r="I201" t="s">
        <v>18</v>
      </c>
      <c r="J201" t="s">
        <v>27</v>
      </c>
      <c r="K201" t="s">
        <v>20</v>
      </c>
      <c r="L201">
        <v>9.07</v>
      </c>
      <c r="M201">
        <v>7.49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BEF8E-32E6-468C-9B73-3C74DE50A4D6}">
  <dimension ref="A1:Q201"/>
  <sheetViews>
    <sheetView workbookViewId="0">
      <selection activeCell="H19" sqref="H19"/>
    </sheetView>
  </sheetViews>
  <sheetFormatPr defaultRowHeight="15" x14ac:dyDescent="0.25"/>
  <cols>
    <col min="1" max="1" width="13.42578125" style="1" bestFit="1" customWidth="1"/>
    <col min="2" max="2" width="10.7109375" style="2" bestFit="1" customWidth="1"/>
    <col min="3" max="3" width="9.140625" style="3" bestFit="1" customWidth="1"/>
    <col min="4" max="4" width="7.140625" style="3" bestFit="1" customWidth="1"/>
    <col min="5" max="5" width="9" style="1" bestFit="1" customWidth="1"/>
    <col min="6" max="6" width="13.140625" style="1" bestFit="1" customWidth="1"/>
    <col min="7" max="7" width="16.140625" style="1" bestFit="1" customWidth="1"/>
    <col min="8" max="8" width="16.28515625" style="5" bestFit="1" customWidth="1"/>
    <col min="9" max="9" width="26.5703125" style="6" bestFit="1" customWidth="1"/>
    <col min="10" max="10" width="20.5703125" style="6" bestFit="1" customWidth="1"/>
    <col min="11" max="11" width="14.7109375" style="6" bestFit="1" customWidth="1"/>
    <col min="12" max="12" width="10.5703125" style="1" bestFit="1" customWidth="1"/>
    <col min="13" max="13" width="20.28515625" style="1" bestFit="1" customWidth="1"/>
    <col min="14" max="14" width="14.140625" style="1" bestFit="1" customWidth="1"/>
    <col min="15" max="15" width="10.5703125" style="4" bestFit="1" customWidth="1"/>
    <col min="16" max="16" width="12.140625" style="4" bestFit="1" customWidth="1"/>
  </cols>
  <sheetData>
    <row r="1" spans="1:17" x14ac:dyDescent="0.25">
      <c r="A1" s="1" t="s">
        <v>0</v>
      </c>
      <c r="B1" s="2" t="s">
        <v>1</v>
      </c>
      <c r="C1" s="3" t="s">
        <v>417</v>
      </c>
      <c r="D1" s="3" t="s">
        <v>418</v>
      </c>
      <c r="E1" s="1" t="s">
        <v>2</v>
      </c>
      <c r="F1" s="1" t="s">
        <v>3</v>
      </c>
      <c r="G1" s="1" t="s">
        <v>4</v>
      </c>
      <c r="H1" s="5" t="s">
        <v>5</v>
      </c>
      <c r="I1" s="6" t="s">
        <v>6</v>
      </c>
      <c r="J1" s="6" t="s">
        <v>7</v>
      </c>
      <c r="K1" s="6" t="s">
        <v>416</v>
      </c>
      <c r="L1" s="1" t="s">
        <v>8</v>
      </c>
      <c r="M1" s="1" t="s">
        <v>432</v>
      </c>
      <c r="N1" s="1" t="s">
        <v>9</v>
      </c>
      <c r="O1" s="1" t="s">
        <v>10</v>
      </c>
      <c r="P1" s="4" t="s">
        <v>11</v>
      </c>
      <c r="Q1" s="4" t="s">
        <v>12</v>
      </c>
    </row>
    <row r="2" spans="1:17" x14ac:dyDescent="0.25">
      <c r="A2" s="1" t="s">
        <v>13</v>
      </c>
      <c r="B2" s="2">
        <v>45228</v>
      </c>
      <c r="C2" s="3" t="str">
        <f>TEXT(B2,"mmm")</f>
        <v>Oct</v>
      </c>
      <c r="D2" s="3" t="str">
        <f>TEXT(B2,"yyyy")</f>
        <v>2023</v>
      </c>
      <c r="E2" s="1" t="s">
        <v>15</v>
      </c>
      <c r="F2" s="1" t="s">
        <v>16</v>
      </c>
      <c r="G2" s="1" t="s">
        <v>17</v>
      </c>
      <c r="H2" s="5">
        <v>35</v>
      </c>
      <c r="I2" s="6">
        <v>72497088</v>
      </c>
      <c r="J2" s="6">
        <v>0</v>
      </c>
      <c r="K2" s="6">
        <f>I2-J2</f>
        <v>72497088</v>
      </c>
      <c r="L2" s="1" t="s">
        <v>18</v>
      </c>
      <c r="M2" s="1" t="s">
        <v>433</v>
      </c>
      <c r="N2" s="1" t="s">
        <v>19</v>
      </c>
      <c r="O2" s="1" t="s">
        <v>20</v>
      </c>
      <c r="P2" s="4">
        <v>6.21</v>
      </c>
      <c r="Q2" s="4">
        <v>7.07</v>
      </c>
    </row>
    <row r="3" spans="1:17" x14ac:dyDescent="0.25">
      <c r="A3" s="1" t="s">
        <v>21</v>
      </c>
      <c r="B3" s="2">
        <v>45091</v>
      </c>
      <c r="C3" s="3" t="str">
        <f t="shared" ref="C3:C66" si="0">TEXT(B3,"mmm")</f>
        <v>Jun</v>
      </c>
      <c r="D3" s="3" t="str">
        <f t="shared" ref="D3:D66" si="1">TEXT(B3,"yyyy")</f>
        <v>2023</v>
      </c>
      <c r="E3" s="1" t="s">
        <v>23</v>
      </c>
      <c r="F3" s="1" t="s">
        <v>24</v>
      </c>
      <c r="G3" s="1" t="s">
        <v>25</v>
      </c>
      <c r="H3" s="5">
        <v>33</v>
      </c>
      <c r="I3" s="6">
        <v>77888592</v>
      </c>
      <c r="J3" s="6">
        <v>0</v>
      </c>
      <c r="K3" s="6">
        <f t="shared" ref="K3:K66" si="2">I3-J3</f>
        <v>77888592</v>
      </c>
      <c r="L3" s="1" t="s">
        <v>26</v>
      </c>
      <c r="M3" s="1" t="s">
        <v>434</v>
      </c>
      <c r="N3" s="1" t="s">
        <v>27</v>
      </c>
      <c r="O3" s="1" t="s">
        <v>20</v>
      </c>
      <c r="P3" s="4">
        <v>5.7</v>
      </c>
      <c r="Q3" s="4">
        <v>5.9</v>
      </c>
    </row>
    <row r="4" spans="1:17" x14ac:dyDescent="0.25">
      <c r="A4" s="1" t="s">
        <v>28</v>
      </c>
      <c r="B4" s="2">
        <v>45296</v>
      </c>
      <c r="C4" s="3" t="str">
        <f t="shared" si="0"/>
        <v>Jan</v>
      </c>
      <c r="D4" s="3" t="str">
        <f t="shared" si="1"/>
        <v>2024</v>
      </c>
      <c r="E4" s="1" t="s">
        <v>30</v>
      </c>
      <c r="F4" s="1" t="s">
        <v>31</v>
      </c>
      <c r="G4" s="1" t="s">
        <v>32</v>
      </c>
      <c r="H4" s="5">
        <v>27</v>
      </c>
      <c r="I4" s="6">
        <v>134801379</v>
      </c>
      <c r="J4" s="6">
        <v>79002054</v>
      </c>
      <c r="K4" s="6">
        <f t="shared" si="2"/>
        <v>55799325</v>
      </c>
      <c r="L4" s="1" t="s">
        <v>33</v>
      </c>
      <c r="M4" s="1" t="s">
        <v>435</v>
      </c>
      <c r="N4" s="1" t="s">
        <v>34</v>
      </c>
      <c r="O4" s="1" t="s">
        <v>20</v>
      </c>
      <c r="P4" s="4">
        <v>7.73</v>
      </c>
      <c r="Q4" s="4">
        <v>8.5399999999999991</v>
      </c>
    </row>
    <row r="5" spans="1:17" x14ac:dyDescent="0.25">
      <c r="A5" s="1" t="s">
        <v>35</v>
      </c>
      <c r="B5" s="2">
        <v>45161</v>
      </c>
      <c r="C5" s="3" t="str">
        <f t="shared" si="0"/>
        <v>Aug</v>
      </c>
      <c r="D5" s="3" t="str">
        <f t="shared" si="1"/>
        <v>2023</v>
      </c>
      <c r="E5" s="1" t="s">
        <v>37</v>
      </c>
      <c r="F5" s="1" t="s">
        <v>24</v>
      </c>
      <c r="G5" s="1" t="s">
        <v>17</v>
      </c>
      <c r="H5" s="5">
        <v>2</v>
      </c>
      <c r="I5" s="6">
        <v>76320051</v>
      </c>
      <c r="J5" s="6">
        <v>24647031</v>
      </c>
      <c r="K5" s="6">
        <f t="shared" si="2"/>
        <v>51673020</v>
      </c>
      <c r="L5" s="1" t="s">
        <v>18</v>
      </c>
      <c r="M5" s="1" t="s">
        <v>433</v>
      </c>
      <c r="N5" s="1" t="s">
        <v>38</v>
      </c>
      <c r="O5" s="1" t="s">
        <v>20</v>
      </c>
      <c r="P5" s="4">
        <v>4.75</v>
      </c>
      <c r="Q5" s="4">
        <v>7.01</v>
      </c>
    </row>
    <row r="6" spans="1:17" x14ac:dyDescent="0.25">
      <c r="A6" s="1" t="s">
        <v>39</v>
      </c>
      <c r="B6" s="2">
        <v>44972</v>
      </c>
      <c r="C6" s="3" t="str">
        <f t="shared" si="0"/>
        <v>Feb</v>
      </c>
      <c r="D6" s="3" t="str">
        <f t="shared" si="1"/>
        <v>2023</v>
      </c>
      <c r="E6" s="1" t="s">
        <v>41</v>
      </c>
      <c r="F6" s="1" t="s">
        <v>42</v>
      </c>
      <c r="G6" s="1" t="s">
        <v>43</v>
      </c>
      <c r="H6" s="5">
        <v>26</v>
      </c>
      <c r="I6" s="6">
        <v>0</v>
      </c>
      <c r="J6" s="6">
        <v>41156046</v>
      </c>
      <c r="K6" s="6">
        <f t="shared" si="2"/>
        <v>-41156046</v>
      </c>
      <c r="L6" s="1" t="s">
        <v>18</v>
      </c>
      <c r="M6" s="1" t="s">
        <v>433</v>
      </c>
      <c r="N6" s="1" t="s">
        <v>19</v>
      </c>
      <c r="O6" s="1" t="s">
        <v>44</v>
      </c>
      <c r="P6" s="4">
        <v>10.52</v>
      </c>
      <c r="Q6" s="4">
        <v>7.44</v>
      </c>
    </row>
    <row r="7" spans="1:17" x14ac:dyDescent="0.25">
      <c r="A7" s="1" t="s">
        <v>45</v>
      </c>
      <c r="B7" s="2">
        <v>45012</v>
      </c>
      <c r="C7" s="3" t="str">
        <f t="shared" si="0"/>
        <v>Mar</v>
      </c>
      <c r="D7" s="3" t="str">
        <f t="shared" si="1"/>
        <v>2023</v>
      </c>
      <c r="E7" s="1" t="s">
        <v>37</v>
      </c>
      <c r="F7" s="1" t="s">
        <v>24</v>
      </c>
      <c r="G7" s="1" t="s">
        <v>25</v>
      </c>
      <c r="H7" s="5">
        <v>32</v>
      </c>
      <c r="I7" s="6">
        <v>75745312</v>
      </c>
      <c r="J7" s="6">
        <v>0</v>
      </c>
      <c r="K7" s="6">
        <f t="shared" si="2"/>
        <v>75745312</v>
      </c>
      <c r="L7" s="1" t="s">
        <v>26</v>
      </c>
      <c r="M7" s="1" t="s">
        <v>434</v>
      </c>
      <c r="N7" s="1" t="s">
        <v>34</v>
      </c>
      <c r="O7" s="1" t="s">
        <v>44</v>
      </c>
      <c r="P7" s="4">
        <v>4.75</v>
      </c>
      <c r="Q7" s="4">
        <v>7.01</v>
      </c>
    </row>
    <row r="8" spans="1:17" x14ac:dyDescent="0.25">
      <c r="A8" s="1" t="s">
        <v>47</v>
      </c>
      <c r="B8" s="2">
        <v>45189</v>
      </c>
      <c r="C8" s="3" t="str">
        <f t="shared" si="0"/>
        <v>Sep</v>
      </c>
      <c r="D8" s="3" t="str">
        <f t="shared" si="1"/>
        <v>2023</v>
      </c>
      <c r="E8" s="1" t="s">
        <v>15</v>
      </c>
      <c r="F8" s="1" t="s">
        <v>16</v>
      </c>
      <c r="G8" s="1" t="s">
        <v>49</v>
      </c>
      <c r="H8" s="5">
        <v>6</v>
      </c>
      <c r="I8" s="6">
        <v>55275076</v>
      </c>
      <c r="J8" s="6">
        <v>22699975</v>
      </c>
      <c r="K8" s="6">
        <f t="shared" si="2"/>
        <v>32575101</v>
      </c>
      <c r="L8" s="1" t="s">
        <v>26</v>
      </c>
      <c r="M8" s="1" t="s">
        <v>434</v>
      </c>
      <c r="N8" s="1" t="s">
        <v>27</v>
      </c>
      <c r="O8" s="1" t="s">
        <v>20</v>
      </c>
      <c r="P8" s="4">
        <v>6.21</v>
      </c>
      <c r="Q8" s="4">
        <v>7.07</v>
      </c>
    </row>
    <row r="9" spans="1:17" x14ac:dyDescent="0.25">
      <c r="A9" s="1" t="s">
        <v>50</v>
      </c>
      <c r="B9" s="2">
        <v>44979</v>
      </c>
      <c r="C9" s="3" t="str">
        <f t="shared" si="0"/>
        <v>Feb</v>
      </c>
      <c r="D9" s="3" t="str">
        <f t="shared" si="1"/>
        <v>2023</v>
      </c>
      <c r="E9" s="1" t="s">
        <v>52</v>
      </c>
      <c r="F9" s="1" t="s">
        <v>42</v>
      </c>
      <c r="G9" s="1" t="s">
        <v>49</v>
      </c>
      <c r="H9" s="5">
        <v>7</v>
      </c>
      <c r="I9" s="6">
        <v>0</v>
      </c>
      <c r="J9" s="6">
        <v>50956733</v>
      </c>
      <c r="K9" s="6">
        <f t="shared" si="2"/>
        <v>-50956733</v>
      </c>
      <c r="L9" s="1" t="s">
        <v>33</v>
      </c>
      <c r="M9" s="1" t="s">
        <v>435</v>
      </c>
      <c r="N9" s="1" t="s">
        <v>34</v>
      </c>
      <c r="O9" s="1" t="s">
        <v>44</v>
      </c>
      <c r="P9" s="4">
        <v>12.99</v>
      </c>
      <c r="Q9" s="4">
        <v>7.6</v>
      </c>
    </row>
    <row r="10" spans="1:17" x14ac:dyDescent="0.25">
      <c r="A10" s="1" t="s">
        <v>53</v>
      </c>
      <c r="B10" s="2">
        <v>45031</v>
      </c>
      <c r="C10" s="3" t="str">
        <f t="shared" si="0"/>
        <v>Apr</v>
      </c>
      <c r="D10" s="3" t="str">
        <f t="shared" si="1"/>
        <v>2023</v>
      </c>
      <c r="E10" s="1" t="s">
        <v>15</v>
      </c>
      <c r="F10" s="1" t="s">
        <v>16</v>
      </c>
      <c r="G10" s="1" t="s">
        <v>49</v>
      </c>
      <c r="H10" s="5">
        <v>26</v>
      </c>
      <c r="I10" s="6">
        <v>0</v>
      </c>
      <c r="J10" s="6">
        <v>88603491</v>
      </c>
      <c r="K10" s="6">
        <f t="shared" si="2"/>
        <v>-88603491</v>
      </c>
      <c r="L10" s="1" t="s">
        <v>18</v>
      </c>
      <c r="M10" s="1" t="s">
        <v>433</v>
      </c>
      <c r="N10" s="1" t="s">
        <v>19</v>
      </c>
      <c r="O10" s="1" t="s">
        <v>20</v>
      </c>
      <c r="P10" s="4">
        <v>6.21</v>
      </c>
      <c r="Q10" s="4">
        <v>7.07</v>
      </c>
    </row>
    <row r="11" spans="1:17" x14ac:dyDescent="0.25">
      <c r="A11" s="1" t="s">
        <v>55</v>
      </c>
      <c r="B11" s="2">
        <v>45072</v>
      </c>
      <c r="C11" s="3" t="str">
        <f t="shared" si="0"/>
        <v>May</v>
      </c>
      <c r="D11" s="3" t="str">
        <f t="shared" si="1"/>
        <v>2023</v>
      </c>
      <c r="E11" s="1" t="s">
        <v>37</v>
      </c>
      <c r="F11" s="1" t="s">
        <v>24</v>
      </c>
      <c r="G11" s="1" t="s">
        <v>57</v>
      </c>
      <c r="H11" s="5">
        <v>36</v>
      </c>
      <c r="I11" s="6">
        <v>0</v>
      </c>
      <c r="J11" s="6">
        <v>0</v>
      </c>
      <c r="K11" s="6">
        <f t="shared" si="2"/>
        <v>0</v>
      </c>
      <c r="L11" s="1" t="s">
        <v>33</v>
      </c>
      <c r="M11" s="1" t="s">
        <v>435</v>
      </c>
      <c r="N11" s="1" t="s">
        <v>34</v>
      </c>
      <c r="O11" s="1" t="s">
        <v>44</v>
      </c>
      <c r="P11" s="4">
        <v>4.75</v>
      </c>
      <c r="Q11" s="4">
        <v>7.01</v>
      </c>
    </row>
    <row r="12" spans="1:17" x14ac:dyDescent="0.25">
      <c r="A12" s="1" t="s">
        <v>58</v>
      </c>
      <c r="B12" s="2">
        <v>45426</v>
      </c>
      <c r="C12" s="3" t="str">
        <f t="shared" si="0"/>
        <v>May</v>
      </c>
      <c r="D12" s="3" t="str">
        <f t="shared" si="1"/>
        <v>2024</v>
      </c>
      <c r="E12" s="1" t="s">
        <v>60</v>
      </c>
      <c r="F12" s="1" t="s">
        <v>61</v>
      </c>
      <c r="G12" s="1" t="s">
        <v>43</v>
      </c>
      <c r="H12" s="5">
        <v>2</v>
      </c>
      <c r="I12" s="6">
        <v>0</v>
      </c>
      <c r="J12" s="6">
        <v>58873884</v>
      </c>
      <c r="K12" s="6">
        <f t="shared" si="2"/>
        <v>-58873884</v>
      </c>
      <c r="L12" s="1" t="s">
        <v>18</v>
      </c>
      <c r="M12" s="1" t="s">
        <v>433</v>
      </c>
      <c r="N12" s="1" t="s">
        <v>34</v>
      </c>
      <c r="O12" s="1" t="s">
        <v>44</v>
      </c>
      <c r="P12" s="4">
        <v>7.38</v>
      </c>
      <c r="Q12" s="4">
        <v>3.93</v>
      </c>
    </row>
    <row r="13" spans="1:17" x14ac:dyDescent="0.25">
      <c r="A13" s="1" t="s">
        <v>62</v>
      </c>
      <c r="B13" s="2">
        <v>44948</v>
      </c>
      <c r="C13" s="3" t="str">
        <f t="shared" si="0"/>
        <v>Jan</v>
      </c>
      <c r="D13" s="3" t="str">
        <f t="shared" si="1"/>
        <v>2023</v>
      </c>
      <c r="E13" s="1" t="s">
        <v>64</v>
      </c>
      <c r="F13" s="1" t="s">
        <v>42</v>
      </c>
      <c r="G13" s="1" t="s">
        <v>49</v>
      </c>
      <c r="H13" s="5">
        <v>9</v>
      </c>
      <c r="I13" s="6">
        <v>0</v>
      </c>
      <c r="J13" s="6">
        <v>0</v>
      </c>
      <c r="K13" s="6">
        <f t="shared" si="2"/>
        <v>0</v>
      </c>
      <c r="L13" s="1" t="s">
        <v>18</v>
      </c>
      <c r="M13" s="1" t="s">
        <v>433</v>
      </c>
      <c r="N13" s="1" t="s">
        <v>19</v>
      </c>
      <c r="O13" s="1" t="s">
        <v>44</v>
      </c>
      <c r="P13" s="4">
        <v>12</v>
      </c>
      <c r="Q13" s="4">
        <v>8.52</v>
      </c>
    </row>
    <row r="14" spans="1:17" x14ac:dyDescent="0.25">
      <c r="A14" s="1" t="s">
        <v>65</v>
      </c>
      <c r="B14" s="2">
        <v>45320</v>
      </c>
      <c r="C14" s="3" t="str">
        <f t="shared" si="0"/>
        <v>Jan</v>
      </c>
      <c r="D14" s="3" t="str">
        <f t="shared" si="1"/>
        <v>2024</v>
      </c>
      <c r="E14" s="1" t="s">
        <v>67</v>
      </c>
      <c r="F14" s="1" t="s">
        <v>68</v>
      </c>
      <c r="G14" s="1" t="s">
        <v>69</v>
      </c>
      <c r="H14" s="5">
        <v>5</v>
      </c>
      <c r="I14" s="6">
        <v>50380697</v>
      </c>
      <c r="J14" s="6">
        <v>0</v>
      </c>
      <c r="K14" s="6">
        <f t="shared" si="2"/>
        <v>50380697</v>
      </c>
      <c r="L14" s="1" t="s">
        <v>26</v>
      </c>
      <c r="M14" s="1" t="s">
        <v>434</v>
      </c>
      <c r="N14" s="1" t="s">
        <v>27</v>
      </c>
      <c r="O14" s="1" t="s">
        <v>20</v>
      </c>
      <c r="P14" s="4">
        <v>11.83</v>
      </c>
      <c r="Q14" s="4">
        <v>13.15</v>
      </c>
    </row>
    <row r="15" spans="1:17" x14ac:dyDescent="0.25">
      <c r="A15" s="1" t="s">
        <v>70</v>
      </c>
      <c r="B15" s="2">
        <v>45253</v>
      </c>
      <c r="C15" s="3" t="str">
        <f t="shared" si="0"/>
        <v>Nov</v>
      </c>
      <c r="D15" s="3" t="str">
        <f t="shared" si="1"/>
        <v>2023</v>
      </c>
      <c r="E15" s="1" t="s">
        <v>72</v>
      </c>
      <c r="F15" s="1" t="s">
        <v>61</v>
      </c>
      <c r="G15" s="1" t="s">
        <v>32</v>
      </c>
      <c r="H15" s="5">
        <v>33</v>
      </c>
      <c r="I15" s="6">
        <v>92733780</v>
      </c>
      <c r="J15" s="6">
        <v>0</v>
      </c>
      <c r="K15" s="6">
        <f t="shared" si="2"/>
        <v>92733780</v>
      </c>
      <c r="L15" s="1" t="s">
        <v>18</v>
      </c>
      <c r="M15" s="1" t="s">
        <v>433</v>
      </c>
      <c r="N15" s="1" t="s">
        <v>27</v>
      </c>
      <c r="O15" s="1" t="s">
        <v>20</v>
      </c>
      <c r="P15" s="4">
        <v>6.9</v>
      </c>
      <c r="Q15" s="4">
        <v>3.3</v>
      </c>
    </row>
    <row r="16" spans="1:17" x14ac:dyDescent="0.25">
      <c r="A16" s="1" t="s">
        <v>73</v>
      </c>
      <c r="B16" s="2">
        <v>45121</v>
      </c>
      <c r="C16" s="3" t="str">
        <f t="shared" si="0"/>
        <v>Jul</v>
      </c>
      <c r="D16" s="3" t="str">
        <f t="shared" si="1"/>
        <v>2023</v>
      </c>
      <c r="E16" s="1" t="s">
        <v>41</v>
      </c>
      <c r="F16" s="1" t="s">
        <v>42</v>
      </c>
      <c r="G16" s="1" t="s">
        <v>17</v>
      </c>
      <c r="H16" s="5">
        <v>37</v>
      </c>
      <c r="I16" s="6">
        <v>0</v>
      </c>
      <c r="J16" s="6">
        <v>0</v>
      </c>
      <c r="K16" s="6">
        <f t="shared" si="2"/>
        <v>0</v>
      </c>
      <c r="L16" s="1" t="s">
        <v>26</v>
      </c>
      <c r="M16" s="1" t="s">
        <v>434</v>
      </c>
      <c r="N16" s="1" t="s">
        <v>38</v>
      </c>
      <c r="O16" s="1" t="s">
        <v>20</v>
      </c>
      <c r="P16" s="4">
        <v>10.52</v>
      </c>
      <c r="Q16" s="4">
        <v>7.44</v>
      </c>
    </row>
    <row r="17" spans="1:17" x14ac:dyDescent="0.25">
      <c r="A17" s="1" t="s">
        <v>75</v>
      </c>
      <c r="B17" s="2">
        <v>45106</v>
      </c>
      <c r="C17" s="3" t="str">
        <f t="shared" si="0"/>
        <v>Jun</v>
      </c>
      <c r="D17" s="3" t="str">
        <f t="shared" si="1"/>
        <v>2023</v>
      </c>
      <c r="E17" s="1" t="s">
        <v>77</v>
      </c>
      <c r="F17" s="1" t="s">
        <v>31</v>
      </c>
      <c r="G17" s="1" t="s">
        <v>57</v>
      </c>
      <c r="H17" s="5">
        <v>31</v>
      </c>
      <c r="I17" s="6">
        <v>21837137</v>
      </c>
      <c r="J17" s="6">
        <v>0</v>
      </c>
      <c r="K17" s="6">
        <f t="shared" si="2"/>
        <v>21837137</v>
      </c>
      <c r="L17" s="1" t="s">
        <v>18</v>
      </c>
      <c r="M17" s="1" t="s">
        <v>433</v>
      </c>
      <c r="N17" s="1" t="s">
        <v>34</v>
      </c>
      <c r="O17" s="1" t="s">
        <v>44</v>
      </c>
      <c r="P17" s="4">
        <v>9.07</v>
      </c>
      <c r="Q17" s="4">
        <v>7.49</v>
      </c>
    </row>
    <row r="18" spans="1:17" x14ac:dyDescent="0.25">
      <c r="A18" s="1" t="s">
        <v>78</v>
      </c>
      <c r="B18" s="2">
        <v>45399</v>
      </c>
      <c r="C18" s="3" t="str">
        <f t="shared" si="0"/>
        <v>Apr</v>
      </c>
      <c r="D18" s="3" t="str">
        <f t="shared" si="1"/>
        <v>2024</v>
      </c>
      <c r="E18" s="1" t="s">
        <v>52</v>
      </c>
      <c r="F18" s="1" t="s">
        <v>42</v>
      </c>
      <c r="G18" s="1" t="s">
        <v>32</v>
      </c>
      <c r="H18" s="5">
        <v>6</v>
      </c>
      <c r="I18" s="6">
        <v>0</v>
      </c>
      <c r="J18" s="6">
        <v>91448340</v>
      </c>
      <c r="K18" s="6">
        <f t="shared" si="2"/>
        <v>-91448340</v>
      </c>
      <c r="L18" s="1" t="s">
        <v>33</v>
      </c>
      <c r="M18" s="1" t="s">
        <v>435</v>
      </c>
      <c r="N18" s="1" t="s">
        <v>19</v>
      </c>
      <c r="O18" s="1" t="s">
        <v>44</v>
      </c>
      <c r="P18" s="4">
        <v>12.99</v>
      </c>
      <c r="Q18" s="4">
        <v>7.6</v>
      </c>
    </row>
    <row r="19" spans="1:17" x14ac:dyDescent="0.25">
      <c r="A19" s="1" t="s">
        <v>80</v>
      </c>
      <c r="B19" s="2">
        <v>45213</v>
      </c>
      <c r="C19" s="3" t="str">
        <f t="shared" si="0"/>
        <v>Oct</v>
      </c>
      <c r="D19" s="3" t="str">
        <f t="shared" si="1"/>
        <v>2023</v>
      </c>
      <c r="E19" s="1" t="s">
        <v>41</v>
      </c>
      <c r="F19" s="1" t="s">
        <v>42</v>
      </c>
      <c r="G19" s="1" t="s">
        <v>43</v>
      </c>
      <c r="H19" s="5">
        <v>27</v>
      </c>
      <c r="I19" s="6">
        <v>102642847</v>
      </c>
      <c r="J19" s="6">
        <v>0</v>
      </c>
      <c r="K19" s="6">
        <f t="shared" si="2"/>
        <v>102642847</v>
      </c>
      <c r="L19" s="1" t="s">
        <v>18</v>
      </c>
      <c r="M19" s="1" t="s">
        <v>433</v>
      </c>
      <c r="N19" s="1" t="s">
        <v>27</v>
      </c>
      <c r="O19" s="1" t="s">
        <v>20</v>
      </c>
      <c r="P19" s="4">
        <v>10.52</v>
      </c>
      <c r="Q19" s="4">
        <v>7.44</v>
      </c>
    </row>
    <row r="20" spans="1:17" x14ac:dyDescent="0.25">
      <c r="A20" s="1" t="s">
        <v>82</v>
      </c>
      <c r="B20" s="2">
        <v>45196</v>
      </c>
      <c r="C20" s="3" t="str">
        <f t="shared" si="0"/>
        <v>Sep</v>
      </c>
      <c r="D20" s="3" t="str">
        <f t="shared" si="1"/>
        <v>2023</v>
      </c>
      <c r="E20" s="1" t="s">
        <v>84</v>
      </c>
      <c r="F20" s="1" t="s">
        <v>42</v>
      </c>
      <c r="G20" s="1" t="s">
        <v>32</v>
      </c>
      <c r="H20" s="5">
        <v>32</v>
      </c>
      <c r="I20" s="6">
        <v>145308817</v>
      </c>
      <c r="J20" s="6">
        <v>0</v>
      </c>
      <c r="K20" s="6">
        <f t="shared" si="2"/>
        <v>145308817</v>
      </c>
      <c r="L20" s="1" t="s">
        <v>33</v>
      </c>
      <c r="M20" s="1" t="s">
        <v>435</v>
      </c>
      <c r="N20" s="1" t="s">
        <v>27</v>
      </c>
      <c r="O20" s="1" t="s">
        <v>44</v>
      </c>
      <c r="P20" s="4">
        <v>12.17</v>
      </c>
      <c r="Q20" s="4">
        <v>6.66</v>
      </c>
    </row>
    <row r="21" spans="1:17" x14ac:dyDescent="0.25">
      <c r="A21" s="1" t="s">
        <v>85</v>
      </c>
      <c r="B21" s="2">
        <v>45145</v>
      </c>
      <c r="C21" s="3" t="str">
        <f t="shared" si="0"/>
        <v>Aug</v>
      </c>
      <c r="D21" s="3" t="str">
        <f t="shared" si="1"/>
        <v>2023</v>
      </c>
      <c r="E21" s="1" t="s">
        <v>87</v>
      </c>
      <c r="F21" s="1" t="s">
        <v>61</v>
      </c>
      <c r="G21" s="1" t="s">
        <v>32</v>
      </c>
      <c r="H21" s="5">
        <v>18</v>
      </c>
      <c r="I21" s="6">
        <v>0</v>
      </c>
      <c r="J21" s="6">
        <v>8072532</v>
      </c>
      <c r="K21" s="6">
        <f t="shared" si="2"/>
        <v>-8072532</v>
      </c>
      <c r="L21" s="1" t="s">
        <v>26</v>
      </c>
      <c r="M21" s="1" t="s">
        <v>434</v>
      </c>
      <c r="N21" s="1" t="s">
        <v>34</v>
      </c>
      <c r="O21" s="1" t="s">
        <v>44</v>
      </c>
      <c r="P21" s="4">
        <v>6.52</v>
      </c>
      <c r="Q21" s="4">
        <v>3.37</v>
      </c>
    </row>
    <row r="22" spans="1:17" x14ac:dyDescent="0.25">
      <c r="A22" s="1" t="s">
        <v>88</v>
      </c>
      <c r="B22" s="2">
        <v>44985</v>
      </c>
      <c r="C22" s="3" t="str">
        <f t="shared" si="0"/>
        <v>Feb</v>
      </c>
      <c r="D22" s="3" t="str">
        <f t="shared" si="1"/>
        <v>2023</v>
      </c>
      <c r="E22" s="1" t="s">
        <v>37</v>
      </c>
      <c r="F22" s="1" t="s">
        <v>24</v>
      </c>
      <c r="G22" s="1" t="s">
        <v>69</v>
      </c>
      <c r="H22" s="5">
        <v>5</v>
      </c>
      <c r="I22" s="6">
        <v>0</v>
      </c>
      <c r="J22" s="6">
        <v>71976301</v>
      </c>
      <c r="K22" s="6">
        <f t="shared" si="2"/>
        <v>-71976301</v>
      </c>
      <c r="L22" s="1" t="s">
        <v>90</v>
      </c>
      <c r="M22" s="1" t="s">
        <v>435</v>
      </c>
      <c r="N22" s="1" t="s">
        <v>34</v>
      </c>
      <c r="O22" s="1" t="s">
        <v>20</v>
      </c>
      <c r="P22" s="4">
        <v>4.75</v>
      </c>
      <c r="Q22" s="4">
        <v>7.01</v>
      </c>
    </row>
    <row r="23" spans="1:17" x14ac:dyDescent="0.25">
      <c r="A23" s="1" t="s">
        <v>91</v>
      </c>
      <c r="B23" s="2">
        <v>44964</v>
      </c>
      <c r="C23" s="3" t="str">
        <f t="shared" si="0"/>
        <v>Feb</v>
      </c>
      <c r="D23" s="3" t="str">
        <f t="shared" si="1"/>
        <v>2023</v>
      </c>
      <c r="E23" s="1" t="s">
        <v>52</v>
      </c>
      <c r="F23" s="1" t="s">
        <v>42</v>
      </c>
      <c r="G23" s="1" t="s">
        <v>43</v>
      </c>
      <c r="H23" s="5">
        <v>12</v>
      </c>
      <c r="I23" s="6">
        <v>0</v>
      </c>
      <c r="J23" s="6">
        <v>0</v>
      </c>
      <c r="K23" s="6">
        <f t="shared" si="2"/>
        <v>0</v>
      </c>
      <c r="L23" s="1" t="s">
        <v>18</v>
      </c>
      <c r="M23" s="1" t="s">
        <v>433</v>
      </c>
      <c r="N23" s="1" t="s">
        <v>19</v>
      </c>
      <c r="O23" s="1" t="s">
        <v>20</v>
      </c>
      <c r="P23" s="4">
        <v>12.99</v>
      </c>
      <c r="Q23" s="4">
        <v>7.6</v>
      </c>
    </row>
    <row r="24" spans="1:17" x14ac:dyDescent="0.25">
      <c r="A24" s="1" t="s">
        <v>93</v>
      </c>
      <c r="B24" s="2">
        <v>45092</v>
      </c>
      <c r="C24" s="3" t="str">
        <f t="shared" si="0"/>
        <v>Jun</v>
      </c>
      <c r="D24" s="3" t="str">
        <f t="shared" si="1"/>
        <v>2023</v>
      </c>
      <c r="E24" s="1" t="s">
        <v>64</v>
      </c>
      <c r="F24" s="1" t="s">
        <v>42</v>
      </c>
      <c r="G24" s="1" t="s">
        <v>17</v>
      </c>
      <c r="H24" s="5">
        <v>36</v>
      </c>
      <c r="I24" s="6">
        <v>47825360</v>
      </c>
      <c r="J24" s="6">
        <v>0</v>
      </c>
      <c r="K24" s="6">
        <f t="shared" si="2"/>
        <v>47825360</v>
      </c>
      <c r="L24" s="1" t="s">
        <v>18</v>
      </c>
      <c r="M24" s="1" t="s">
        <v>433</v>
      </c>
      <c r="N24" s="1" t="s">
        <v>38</v>
      </c>
      <c r="O24" s="1" t="s">
        <v>20</v>
      </c>
      <c r="P24" s="4">
        <v>12</v>
      </c>
      <c r="Q24" s="4">
        <v>8.52</v>
      </c>
    </row>
    <row r="25" spans="1:17" x14ac:dyDescent="0.25">
      <c r="A25" s="1" t="s">
        <v>95</v>
      </c>
      <c r="B25" s="2">
        <v>45422</v>
      </c>
      <c r="C25" s="3" t="str">
        <f t="shared" si="0"/>
        <v>May</v>
      </c>
      <c r="D25" s="3" t="str">
        <f t="shared" si="1"/>
        <v>2024</v>
      </c>
      <c r="E25" s="1" t="s">
        <v>77</v>
      </c>
      <c r="F25" s="1" t="s">
        <v>31</v>
      </c>
      <c r="G25" s="1" t="s">
        <v>25</v>
      </c>
      <c r="H25" s="5">
        <v>35</v>
      </c>
      <c r="I25" s="6">
        <v>38104390</v>
      </c>
      <c r="J25" s="6">
        <v>35241691</v>
      </c>
      <c r="K25" s="6">
        <f t="shared" si="2"/>
        <v>2862699</v>
      </c>
      <c r="L25" s="1" t="s">
        <v>33</v>
      </c>
      <c r="M25" s="1" t="s">
        <v>435</v>
      </c>
      <c r="N25" s="1" t="s">
        <v>34</v>
      </c>
      <c r="O25" s="1" t="s">
        <v>44</v>
      </c>
      <c r="P25" s="4">
        <v>9.07</v>
      </c>
      <c r="Q25" s="4">
        <v>7.49</v>
      </c>
    </row>
    <row r="26" spans="1:17" x14ac:dyDescent="0.25">
      <c r="A26" s="1" t="s">
        <v>97</v>
      </c>
      <c r="B26" s="2">
        <v>45286</v>
      </c>
      <c r="C26" s="3" t="str">
        <f t="shared" si="0"/>
        <v>Dec</v>
      </c>
      <c r="D26" s="3" t="str">
        <f t="shared" si="1"/>
        <v>2023</v>
      </c>
      <c r="E26" s="1" t="s">
        <v>77</v>
      </c>
      <c r="F26" s="1" t="s">
        <v>31</v>
      </c>
      <c r="G26" s="1" t="s">
        <v>43</v>
      </c>
      <c r="H26" s="5">
        <v>5</v>
      </c>
      <c r="I26" s="6">
        <v>0</v>
      </c>
      <c r="J26" s="6">
        <v>84955125</v>
      </c>
      <c r="K26" s="6">
        <f t="shared" si="2"/>
        <v>-84955125</v>
      </c>
      <c r="L26" s="1" t="s">
        <v>26</v>
      </c>
      <c r="M26" s="1" t="s">
        <v>434</v>
      </c>
      <c r="N26" s="1" t="s">
        <v>38</v>
      </c>
      <c r="O26" s="1" t="s">
        <v>44</v>
      </c>
      <c r="P26" s="4">
        <v>9.07</v>
      </c>
      <c r="Q26" s="4">
        <v>7.49</v>
      </c>
    </row>
    <row r="27" spans="1:17" x14ac:dyDescent="0.25">
      <c r="A27" s="1" t="s">
        <v>99</v>
      </c>
      <c r="B27" s="2">
        <v>44937</v>
      </c>
      <c r="C27" s="3" t="str">
        <f t="shared" si="0"/>
        <v>Jan</v>
      </c>
      <c r="D27" s="3" t="str">
        <f t="shared" si="1"/>
        <v>2023</v>
      </c>
      <c r="E27" s="1" t="s">
        <v>67</v>
      </c>
      <c r="F27" s="1" t="s">
        <v>68</v>
      </c>
      <c r="G27" s="1" t="s">
        <v>17</v>
      </c>
      <c r="H27" s="5">
        <v>39</v>
      </c>
      <c r="I27" s="6">
        <v>96870496</v>
      </c>
      <c r="J27" s="6">
        <v>0</v>
      </c>
      <c r="K27" s="6">
        <f t="shared" si="2"/>
        <v>96870496</v>
      </c>
      <c r="L27" s="1" t="s">
        <v>33</v>
      </c>
      <c r="M27" s="1" t="s">
        <v>435</v>
      </c>
      <c r="N27" s="1" t="s">
        <v>19</v>
      </c>
      <c r="O27" s="1" t="s">
        <v>44</v>
      </c>
      <c r="P27" s="4">
        <v>11.83</v>
      </c>
      <c r="Q27" s="4">
        <v>13.15</v>
      </c>
    </row>
    <row r="28" spans="1:17" x14ac:dyDescent="0.25">
      <c r="A28" s="1" t="s">
        <v>101</v>
      </c>
      <c r="B28" s="2">
        <v>45308</v>
      </c>
      <c r="C28" s="3" t="str">
        <f t="shared" si="0"/>
        <v>Jan</v>
      </c>
      <c r="D28" s="3" t="str">
        <f t="shared" si="1"/>
        <v>2024</v>
      </c>
      <c r="E28" s="1" t="s">
        <v>87</v>
      </c>
      <c r="F28" s="1" t="s">
        <v>61</v>
      </c>
      <c r="G28" s="1" t="s">
        <v>57</v>
      </c>
      <c r="H28" s="5">
        <v>1</v>
      </c>
      <c r="I28" s="6">
        <v>0</v>
      </c>
      <c r="J28" s="6">
        <v>30646944</v>
      </c>
      <c r="K28" s="6">
        <f t="shared" si="2"/>
        <v>-30646944</v>
      </c>
      <c r="L28" s="1" t="s">
        <v>33</v>
      </c>
      <c r="M28" s="1" t="s">
        <v>435</v>
      </c>
      <c r="N28" s="1" t="s">
        <v>34</v>
      </c>
      <c r="O28" s="1" t="s">
        <v>20</v>
      </c>
      <c r="P28" s="4">
        <v>6.52</v>
      </c>
      <c r="Q28" s="4">
        <v>3.37</v>
      </c>
    </row>
    <row r="29" spans="1:17" x14ac:dyDescent="0.25">
      <c r="A29" s="1" t="s">
        <v>103</v>
      </c>
      <c r="B29" s="2">
        <v>45271</v>
      </c>
      <c r="C29" s="3" t="str">
        <f t="shared" si="0"/>
        <v>Dec</v>
      </c>
      <c r="D29" s="3" t="str">
        <f t="shared" si="1"/>
        <v>2023</v>
      </c>
      <c r="E29" s="1" t="s">
        <v>72</v>
      </c>
      <c r="F29" s="1" t="s">
        <v>61</v>
      </c>
      <c r="G29" s="1" t="s">
        <v>25</v>
      </c>
      <c r="H29" s="5">
        <v>20</v>
      </c>
      <c r="I29" s="6">
        <v>65684623</v>
      </c>
      <c r="J29" s="6">
        <v>0</v>
      </c>
      <c r="K29" s="6">
        <f t="shared" si="2"/>
        <v>65684623</v>
      </c>
      <c r="L29" s="1" t="s">
        <v>33</v>
      </c>
      <c r="M29" s="1" t="s">
        <v>435</v>
      </c>
      <c r="N29" s="1" t="s">
        <v>34</v>
      </c>
      <c r="O29" s="1" t="s">
        <v>20</v>
      </c>
      <c r="P29" s="4">
        <v>6.9</v>
      </c>
      <c r="Q29" s="4">
        <v>3.3</v>
      </c>
    </row>
    <row r="30" spans="1:17" x14ac:dyDescent="0.25">
      <c r="A30" s="1" t="s">
        <v>105</v>
      </c>
      <c r="B30" s="2">
        <v>45207</v>
      </c>
      <c r="C30" s="3" t="str">
        <f t="shared" si="0"/>
        <v>Oct</v>
      </c>
      <c r="D30" s="3" t="str">
        <f t="shared" si="1"/>
        <v>2023</v>
      </c>
      <c r="E30" s="1" t="s">
        <v>30</v>
      </c>
      <c r="F30" s="1" t="s">
        <v>31</v>
      </c>
      <c r="G30" s="1" t="s">
        <v>43</v>
      </c>
      <c r="H30" s="5">
        <v>8</v>
      </c>
      <c r="I30" s="6">
        <v>52950578</v>
      </c>
      <c r="J30" s="6">
        <v>61257860</v>
      </c>
      <c r="K30" s="6">
        <f t="shared" si="2"/>
        <v>-8307282</v>
      </c>
      <c r="L30" s="1" t="s">
        <v>33</v>
      </c>
      <c r="M30" s="1" t="s">
        <v>435</v>
      </c>
      <c r="N30" s="1" t="s">
        <v>34</v>
      </c>
      <c r="O30" s="1" t="s">
        <v>44</v>
      </c>
      <c r="P30" s="4">
        <v>7.73</v>
      </c>
      <c r="Q30" s="4">
        <v>8.5399999999999991</v>
      </c>
    </row>
    <row r="31" spans="1:17" x14ac:dyDescent="0.25">
      <c r="A31" s="1" t="s">
        <v>107</v>
      </c>
      <c r="B31" s="2">
        <v>45392</v>
      </c>
      <c r="C31" s="3" t="str">
        <f t="shared" si="0"/>
        <v>Apr</v>
      </c>
      <c r="D31" s="3" t="str">
        <f t="shared" si="1"/>
        <v>2024</v>
      </c>
      <c r="E31" s="1" t="s">
        <v>15</v>
      </c>
      <c r="F31" s="1" t="s">
        <v>16</v>
      </c>
      <c r="G31" s="1" t="s">
        <v>49</v>
      </c>
      <c r="H31" s="5">
        <v>20</v>
      </c>
      <c r="I31" s="6">
        <v>0</v>
      </c>
      <c r="J31" s="6">
        <v>0</v>
      </c>
      <c r="K31" s="6">
        <f t="shared" si="2"/>
        <v>0</v>
      </c>
      <c r="L31" s="1" t="s">
        <v>33</v>
      </c>
      <c r="M31" s="1" t="s">
        <v>435</v>
      </c>
      <c r="N31" s="1" t="s">
        <v>34</v>
      </c>
      <c r="O31" s="1" t="s">
        <v>44</v>
      </c>
      <c r="P31" s="4">
        <v>6.21</v>
      </c>
      <c r="Q31" s="4">
        <v>7.07</v>
      </c>
    </row>
    <row r="32" spans="1:17" x14ac:dyDescent="0.25">
      <c r="A32" s="1" t="s">
        <v>109</v>
      </c>
      <c r="B32" s="2">
        <v>45381</v>
      </c>
      <c r="C32" s="3" t="str">
        <f t="shared" si="0"/>
        <v>Mar</v>
      </c>
      <c r="D32" s="3" t="str">
        <f t="shared" si="1"/>
        <v>2024</v>
      </c>
      <c r="E32" s="1" t="s">
        <v>60</v>
      </c>
      <c r="F32" s="1" t="s">
        <v>61</v>
      </c>
      <c r="G32" s="1" t="s">
        <v>32</v>
      </c>
      <c r="H32" s="5">
        <v>26</v>
      </c>
      <c r="I32" s="6">
        <v>42890213</v>
      </c>
      <c r="J32" s="6">
        <v>0</v>
      </c>
      <c r="K32" s="6">
        <f t="shared" si="2"/>
        <v>42890213</v>
      </c>
      <c r="L32" s="1" t="s">
        <v>33</v>
      </c>
      <c r="M32" s="1" t="s">
        <v>435</v>
      </c>
      <c r="N32" s="1" t="s">
        <v>34</v>
      </c>
      <c r="O32" s="1" t="s">
        <v>20</v>
      </c>
      <c r="P32" s="4">
        <v>7.38</v>
      </c>
      <c r="Q32" s="4">
        <v>3.93</v>
      </c>
    </row>
    <row r="33" spans="1:17" x14ac:dyDescent="0.25">
      <c r="A33" s="1" t="s">
        <v>111</v>
      </c>
      <c r="B33" s="2">
        <v>45202</v>
      </c>
      <c r="C33" s="3" t="str">
        <f t="shared" si="0"/>
        <v>Oct</v>
      </c>
      <c r="D33" s="3" t="str">
        <f t="shared" si="1"/>
        <v>2023</v>
      </c>
      <c r="E33" s="1" t="s">
        <v>72</v>
      </c>
      <c r="F33" s="1" t="s">
        <v>61</v>
      </c>
      <c r="G33" s="1" t="s">
        <v>17</v>
      </c>
      <c r="H33" s="5">
        <v>25</v>
      </c>
      <c r="I33" s="6">
        <v>125713988</v>
      </c>
      <c r="J33" s="6">
        <v>0</v>
      </c>
      <c r="K33" s="6">
        <f t="shared" si="2"/>
        <v>125713988</v>
      </c>
      <c r="L33" s="1" t="s">
        <v>33</v>
      </c>
      <c r="M33" s="1" t="s">
        <v>435</v>
      </c>
      <c r="N33" s="1" t="s">
        <v>19</v>
      </c>
      <c r="O33" s="1" t="s">
        <v>44</v>
      </c>
      <c r="P33" s="4">
        <v>6.9</v>
      </c>
      <c r="Q33" s="4">
        <v>3.3</v>
      </c>
    </row>
    <row r="34" spans="1:17" x14ac:dyDescent="0.25">
      <c r="A34" s="1" t="s">
        <v>113</v>
      </c>
      <c r="B34" s="2">
        <v>45262</v>
      </c>
      <c r="C34" s="3" t="str">
        <f t="shared" si="0"/>
        <v>Dec</v>
      </c>
      <c r="D34" s="3" t="str">
        <f t="shared" si="1"/>
        <v>2023</v>
      </c>
      <c r="E34" s="1" t="s">
        <v>41</v>
      </c>
      <c r="F34" s="1" t="s">
        <v>42</v>
      </c>
      <c r="G34" s="1" t="s">
        <v>25</v>
      </c>
      <c r="H34" s="5">
        <v>20</v>
      </c>
      <c r="I34" s="6">
        <v>0</v>
      </c>
      <c r="J34" s="6">
        <v>0</v>
      </c>
      <c r="K34" s="6">
        <f t="shared" si="2"/>
        <v>0</v>
      </c>
      <c r="L34" s="1" t="s">
        <v>33</v>
      </c>
      <c r="M34" s="1" t="s">
        <v>435</v>
      </c>
      <c r="N34" s="1" t="s">
        <v>19</v>
      </c>
      <c r="O34" s="1" t="s">
        <v>20</v>
      </c>
      <c r="P34" s="4">
        <v>10.52</v>
      </c>
      <c r="Q34" s="4">
        <v>7.44</v>
      </c>
    </row>
    <row r="35" spans="1:17" x14ac:dyDescent="0.25">
      <c r="A35" s="1" t="s">
        <v>115</v>
      </c>
      <c r="B35" s="2">
        <v>44982</v>
      </c>
      <c r="C35" s="3" t="str">
        <f t="shared" si="0"/>
        <v>Feb</v>
      </c>
      <c r="D35" s="3" t="str">
        <f t="shared" si="1"/>
        <v>2023</v>
      </c>
      <c r="E35" s="1" t="s">
        <v>64</v>
      </c>
      <c r="F35" s="1" t="s">
        <v>42</v>
      </c>
      <c r="G35" s="1" t="s">
        <v>32</v>
      </c>
      <c r="H35" s="5">
        <v>13</v>
      </c>
      <c r="I35" s="6">
        <v>126039628</v>
      </c>
      <c r="J35" s="6">
        <v>0</v>
      </c>
      <c r="K35" s="6">
        <f t="shared" si="2"/>
        <v>126039628</v>
      </c>
      <c r="L35" s="1" t="s">
        <v>90</v>
      </c>
      <c r="M35" s="1" t="s">
        <v>435</v>
      </c>
      <c r="N35" s="1" t="s">
        <v>38</v>
      </c>
      <c r="O35" s="1" t="s">
        <v>20</v>
      </c>
      <c r="P35" s="4">
        <v>12</v>
      </c>
      <c r="Q35" s="4">
        <v>8.52</v>
      </c>
    </row>
    <row r="36" spans="1:17" x14ac:dyDescent="0.25">
      <c r="A36" s="1" t="s">
        <v>117</v>
      </c>
      <c r="B36" s="2">
        <v>45014</v>
      </c>
      <c r="C36" s="3" t="str">
        <f t="shared" si="0"/>
        <v>Mar</v>
      </c>
      <c r="D36" s="3" t="str">
        <f t="shared" si="1"/>
        <v>2023</v>
      </c>
      <c r="E36" s="1" t="s">
        <v>64</v>
      </c>
      <c r="F36" s="1" t="s">
        <v>42</v>
      </c>
      <c r="G36" s="1" t="s">
        <v>49</v>
      </c>
      <c r="H36" s="5">
        <v>17</v>
      </c>
      <c r="I36" s="6">
        <v>0</v>
      </c>
      <c r="J36" s="6">
        <v>74380311</v>
      </c>
      <c r="K36" s="6">
        <f t="shared" si="2"/>
        <v>-74380311</v>
      </c>
      <c r="L36" s="1" t="s">
        <v>33</v>
      </c>
      <c r="M36" s="1" t="s">
        <v>435</v>
      </c>
      <c r="N36" s="1" t="s">
        <v>38</v>
      </c>
      <c r="O36" s="1" t="s">
        <v>44</v>
      </c>
      <c r="P36" s="4">
        <v>12</v>
      </c>
      <c r="Q36" s="4">
        <v>8.52</v>
      </c>
    </row>
    <row r="37" spans="1:17" x14ac:dyDescent="0.25">
      <c r="A37" s="1" t="s">
        <v>119</v>
      </c>
      <c r="B37" s="2">
        <v>45016</v>
      </c>
      <c r="C37" s="3" t="str">
        <f t="shared" si="0"/>
        <v>Mar</v>
      </c>
      <c r="D37" s="3" t="str">
        <f t="shared" si="1"/>
        <v>2023</v>
      </c>
      <c r="E37" s="1" t="s">
        <v>41</v>
      </c>
      <c r="F37" s="1" t="s">
        <v>42</v>
      </c>
      <c r="G37" s="1" t="s">
        <v>57</v>
      </c>
      <c r="H37" s="5">
        <v>36</v>
      </c>
      <c r="I37" s="6">
        <v>0</v>
      </c>
      <c r="J37" s="6">
        <v>0</v>
      </c>
      <c r="K37" s="6">
        <f t="shared" si="2"/>
        <v>0</v>
      </c>
      <c r="L37" s="1" t="s">
        <v>33</v>
      </c>
      <c r="M37" s="1" t="s">
        <v>435</v>
      </c>
      <c r="N37" s="1" t="s">
        <v>19</v>
      </c>
      <c r="O37" s="1" t="s">
        <v>44</v>
      </c>
      <c r="P37" s="4">
        <v>10.52</v>
      </c>
      <c r="Q37" s="4">
        <v>7.44</v>
      </c>
    </row>
    <row r="38" spans="1:17" x14ac:dyDescent="0.25">
      <c r="A38" s="1" t="s">
        <v>121</v>
      </c>
      <c r="B38" s="2">
        <v>45167</v>
      </c>
      <c r="C38" s="3" t="str">
        <f t="shared" si="0"/>
        <v>Aug</v>
      </c>
      <c r="D38" s="3" t="str">
        <f t="shared" si="1"/>
        <v>2023</v>
      </c>
      <c r="E38" s="1" t="s">
        <v>77</v>
      </c>
      <c r="F38" s="1" t="s">
        <v>31</v>
      </c>
      <c r="G38" s="1" t="s">
        <v>69</v>
      </c>
      <c r="H38" s="5">
        <v>8</v>
      </c>
      <c r="I38" s="6">
        <v>0</v>
      </c>
      <c r="J38" s="6">
        <v>52917439</v>
      </c>
      <c r="K38" s="6">
        <f t="shared" si="2"/>
        <v>-52917439</v>
      </c>
      <c r="L38" s="1" t="s">
        <v>90</v>
      </c>
      <c r="M38" s="1" t="s">
        <v>435</v>
      </c>
      <c r="N38" s="1" t="s">
        <v>38</v>
      </c>
      <c r="O38" s="1" t="s">
        <v>44</v>
      </c>
      <c r="P38" s="4">
        <v>9.07</v>
      </c>
      <c r="Q38" s="4">
        <v>7.49</v>
      </c>
    </row>
    <row r="39" spans="1:17" x14ac:dyDescent="0.25">
      <c r="A39" s="1" t="s">
        <v>123</v>
      </c>
      <c r="B39" s="2">
        <v>45110</v>
      </c>
      <c r="C39" s="3" t="str">
        <f t="shared" si="0"/>
        <v>Jul</v>
      </c>
      <c r="D39" s="3" t="str">
        <f t="shared" si="1"/>
        <v>2023</v>
      </c>
      <c r="E39" s="1" t="s">
        <v>52</v>
      </c>
      <c r="F39" s="1" t="s">
        <v>42</v>
      </c>
      <c r="G39" s="1" t="s">
        <v>49</v>
      </c>
      <c r="H39" s="5">
        <v>22</v>
      </c>
      <c r="I39" s="6">
        <v>7100511</v>
      </c>
      <c r="J39" s="6">
        <v>37925306</v>
      </c>
      <c r="K39" s="6">
        <f t="shared" si="2"/>
        <v>-30824795</v>
      </c>
      <c r="L39" s="1" t="s">
        <v>26</v>
      </c>
      <c r="M39" s="1" t="s">
        <v>434</v>
      </c>
      <c r="N39" s="1" t="s">
        <v>34</v>
      </c>
      <c r="O39" s="1" t="s">
        <v>20</v>
      </c>
      <c r="P39" s="4">
        <v>12.99</v>
      </c>
      <c r="Q39" s="4">
        <v>7.6</v>
      </c>
    </row>
    <row r="40" spans="1:17" x14ac:dyDescent="0.25">
      <c r="A40" s="1" t="s">
        <v>125</v>
      </c>
      <c r="B40" s="2">
        <v>45298</v>
      </c>
      <c r="C40" s="3" t="str">
        <f t="shared" si="0"/>
        <v>Jan</v>
      </c>
      <c r="D40" s="3" t="str">
        <f t="shared" si="1"/>
        <v>2024</v>
      </c>
      <c r="E40" s="1" t="s">
        <v>67</v>
      </c>
      <c r="F40" s="1" t="s">
        <v>68</v>
      </c>
      <c r="G40" s="1" t="s">
        <v>57</v>
      </c>
      <c r="H40" s="5">
        <v>10</v>
      </c>
      <c r="I40" s="6">
        <v>0</v>
      </c>
      <c r="J40" s="6">
        <v>26936358</v>
      </c>
      <c r="K40" s="6">
        <f t="shared" si="2"/>
        <v>-26936358</v>
      </c>
      <c r="L40" s="1" t="s">
        <v>90</v>
      </c>
      <c r="M40" s="1" t="s">
        <v>435</v>
      </c>
      <c r="N40" s="1" t="s">
        <v>27</v>
      </c>
      <c r="O40" s="1" t="s">
        <v>44</v>
      </c>
      <c r="P40" s="4">
        <v>11.83</v>
      </c>
      <c r="Q40" s="4">
        <v>13.15</v>
      </c>
    </row>
    <row r="41" spans="1:17" x14ac:dyDescent="0.25">
      <c r="A41" s="1" t="s">
        <v>127</v>
      </c>
      <c r="B41" s="2">
        <v>44998</v>
      </c>
      <c r="C41" s="3" t="str">
        <f t="shared" si="0"/>
        <v>Mar</v>
      </c>
      <c r="D41" s="3" t="str">
        <f t="shared" si="1"/>
        <v>2023</v>
      </c>
      <c r="E41" s="1" t="s">
        <v>41</v>
      </c>
      <c r="F41" s="1" t="s">
        <v>42</v>
      </c>
      <c r="G41" s="1" t="s">
        <v>25</v>
      </c>
      <c r="H41" s="5">
        <v>14</v>
      </c>
      <c r="I41" s="6">
        <v>34358871</v>
      </c>
      <c r="J41" s="6">
        <v>0</v>
      </c>
      <c r="K41" s="6">
        <f t="shared" si="2"/>
        <v>34358871</v>
      </c>
      <c r="L41" s="1" t="s">
        <v>26</v>
      </c>
      <c r="M41" s="1" t="s">
        <v>434</v>
      </c>
      <c r="N41" s="1" t="s">
        <v>27</v>
      </c>
      <c r="O41" s="1" t="s">
        <v>20</v>
      </c>
      <c r="P41" s="4">
        <v>10.52</v>
      </c>
      <c r="Q41" s="4">
        <v>7.44</v>
      </c>
    </row>
    <row r="42" spans="1:17" x14ac:dyDescent="0.25">
      <c r="A42" s="1" t="s">
        <v>129</v>
      </c>
      <c r="B42" s="2">
        <v>45195</v>
      </c>
      <c r="C42" s="3" t="str">
        <f t="shared" si="0"/>
        <v>Sep</v>
      </c>
      <c r="D42" s="3" t="str">
        <f t="shared" si="1"/>
        <v>2023</v>
      </c>
      <c r="E42" s="1" t="s">
        <v>15</v>
      </c>
      <c r="F42" s="1" t="s">
        <v>16</v>
      </c>
      <c r="G42" s="1" t="s">
        <v>43</v>
      </c>
      <c r="H42" s="5">
        <v>17</v>
      </c>
      <c r="I42" s="6">
        <v>30087558</v>
      </c>
      <c r="J42" s="6">
        <v>0</v>
      </c>
      <c r="K42" s="6">
        <f t="shared" si="2"/>
        <v>30087558</v>
      </c>
      <c r="L42" s="1" t="s">
        <v>18</v>
      </c>
      <c r="M42" s="1" t="s">
        <v>433</v>
      </c>
      <c r="N42" s="1" t="s">
        <v>27</v>
      </c>
      <c r="O42" s="1" t="s">
        <v>20</v>
      </c>
      <c r="P42" s="4">
        <v>6.21</v>
      </c>
      <c r="Q42" s="4">
        <v>7.07</v>
      </c>
    </row>
    <row r="43" spans="1:17" x14ac:dyDescent="0.25">
      <c r="A43" s="1" t="s">
        <v>131</v>
      </c>
      <c r="B43" s="2">
        <v>45072</v>
      </c>
      <c r="C43" s="3" t="str">
        <f t="shared" si="0"/>
        <v>May</v>
      </c>
      <c r="D43" s="3" t="str">
        <f t="shared" si="1"/>
        <v>2023</v>
      </c>
      <c r="E43" s="1" t="s">
        <v>87</v>
      </c>
      <c r="F43" s="1" t="s">
        <v>61</v>
      </c>
      <c r="G43" s="1" t="s">
        <v>25</v>
      </c>
      <c r="H43" s="5">
        <v>34</v>
      </c>
      <c r="I43" s="6">
        <v>0</v>
      </c>
      <c r="J43" s="6">
        <v>0</v>
      </c>
      <c r="K43" s="6">
        <f t="shared" si="2"/>
        <v>0</v>
      </c>
      <c r="L43" s="1" t="s">
        <v>18</v>
      </c>
      <c r="M43" s="1" t="s">
        <v>433</v>
      </c>
      <c r="N43" s="1" t="s">
        <v>27</v>
      </c>
      <c r="O43" s="1" t="s">
        <v>44</v>
      </c>
      <c r="P43" s="4">
        <v>6.52</v>
      </c>
      <c r="Q43" s="4">
        <v>3.37</v>
      </c>
    </row>
    <row r="44" spans="1:17" x14ac:dyDescent="0.25">
      <c r="A44" s="1" t="s">
        <v>132</v>
      </c>
      <c r="B44" s="2">
        <v>45009</v>
      </c>
      <c r="C44" s="3" t="str">
        <f t="shared" si="0"/>
        <v>Mar</v>
      </c>
      <c r="D44" s="3" t="str">
        <f t="shared" si="1"/>
        <v>2023</v>
      </c>
      <c r="E44" s="1" t="s">
        <v>84</v>
      </c>
      <c r="F44" s="1" t="s">
        <v>42</v>
      </c>
      <c r="G44" s="1" t="s">
        <v>25</v>
      </c>
      <c r="H44" s="5">
        <v>5</v>
      </c>
      <c r="I44" s="6">
        <v>0</v>
      </c>
      <c r="J44" s="6">
        <v>0</v>
      </c>
      <c r="K44" s="6">
        <f t="shared" si="2"/>
        <v>0</v>
      </c>
      <c r="L44" s="1" t="s">
        <v>26</v>
      </c>
      <c r="M44" s="1" t="s">
        <v>434</v>
      </c>
      <c r="N44" s="1" t="s">
        <v>19</v>
      </c>
      <c r="O44" s="1" t="s">
        <v>20</v>
      </c>
      <c r="P44" s="4">
        <v>12.17</v>
      </c>
      <c r="Q44" s="4">
        <v>6.66</v>
      </c>
    </row>
    <row r="45" spans="1:17" x14ac:dyDescent="0.25">
      <c r="A45" s="1" t="s">
        <v>134</v>
      </c>
      <c r="B45" s="2">
        <v>45290</v>
      </c>
      <c r="C45" s="3" t="str">
        <f t="shared" si="0"/>
        <v>Dec</v>
      </c>
      <c r="D45" s="3" t="str">
        <f t="shared" si="1"/>
        <v>2023</v>
      </c>
      <c r="E45" s="1" t="s">
        <v>37</v>
      </c>
      <c r="F45" s="1" t="s">
        <v>24</v>
      </c>
      <c r="G45" s="1" t="s">
        <v>43</v>
      </c>
      <c r="H45" s="5">
        <v>39</v>
      </c>
      <c r="I45" s="6">
        <v>88459239</v>
      </c>
      <c r="J45" s="6">
        <v>80862913</v>
      </c>
      <c r="K45" s="6">
        <f t="shared" si="2"/>
        <v>7596326</v>
      </c>
      <c r="L45" s="1" t="s">
        <v>18</v>
      </c>
      <c r="M45" s="1" t="s">
        <v>433</v>
      </c>
      <c r="N45" s="1" t="s">
        <v>27</v>
      </c>
      <c r="O45" s="1" t="s">
        <v>44</v>
      </c>
      <c r="P45" s="4">
        <v>4.75</v>
      </c>
      <c r="Q45" s="4">
        <v>7.01</v>
      </c>
    </row>
    <row r="46" spans="1:17" x14ac:dyDescent="0.25">
      <c r="A46" s="1" t="s">
        <v>136</v>
      </c>
      <c r="B46" s="2">
        <v>45134</v>
      </c>
      <c r="C46" s="3" t="str">
        <f t="shared" si="0"/>
        <v>Jul</v>
      </c>
      <c r="D46" s="3" t="str">
        <f t="shared" si="1"/>
        <v>2023</v>
      </c>
      <c r="E46" s="1" t="s">
        <v>37</v>
      </c>
      <c r="F46" s="1" t="s">
        <v>24</v>
      </c>
      <c r="G46" s="1" t="s">
        <v>57</v>
      </c>
      <c r="H46" s="5">
        <v>21</v>
      </c>
      <c r="I46" s="6">
        <v>0</v>
      </c>
      <c r="J46" s="6">
        <v>0</v>
      </c>
      <c r="K46" s="6">
        <f t="shared" si="2"/>
        <v>0</v>
      </c>
      <c r="L46" s="1" t="s">
        <v>33</v>
      </c>
      <c r="M46" s="1" t="s">
        <v>435</v>
      </c>
      <c r="N46" s="1" t="s">
        <v>34</v>
      </c>
      <c r="O46" s="1" t="s">
        <v>44</v>
      </c>
      <c r="P46" s="4">
        <v>4.75</v>
      </c>
      <c r="Q46" s="4">
        <v>7.01</v>
      </c>
    </row>
    <row r="47" spans="1:17" x14ac:dyDescent="0.25">
      <c r="A47" s="1" t="s">
        <v>138</v>
      </c>
      <c r="B47" s="2">
        <v>45315</v>
      </c>
      <c r="C47" s="3" t="str">
        <f t="shared" si="0"/>
        <v>Jan</v>
      </c>
      <c r="D47" s="3" t="str">
        <f t="shared" si="1"/>
        <v>2024</v>
      </c>
      <c r="E47" s="1" t="s">
        <v>72</v>
      </c>
      <c r="F47" s="1" t="s">
        <v>61</v>
      </c>
      <c r="G47" s="1" t="s">
        <v>17</v>
      </c>
      <c r="H47" s="5">
        <v>21</v>
      </c>
      <c r="I47" s="6">
        <v>0</v>
      </c>
      <c r="J47" s="6">
        <v>33212155</v>
      </c>
      <c r="K47" s="6">
        <f t="shared" si="2"/>
        <v>-33212155</v>
      </c>
      <c r="L47" s="1" t="s">
        <v>18</v>
      </c>
      <c r="M47" s="1" t="s">
        <v>433</v>
      </c>
      <c r="N47" s="1" t="s">
        <v>19</v>
      </c>
      <c r="O47" s="1" t="s">
        <v>20</v>
      </c>
      <c r="P47" s="4">
        <v>6.9</v>
      </c>
      <c r="Q47" s="4">
        <v>3.3</v>
      </c>
    </row>
    <row r="48" spans="1:17" x14ac:dyDescent="0.25">
      <c r="A48" s="1" t="s">
        <v>140</v>
      </c>
      <c r="B48" s="2">
        <v>45295</v>
      </c>
      <c r="C48" s="3" t="str">
        <f t="shared" si="0"/>
        <v>Jan</v>
      </c>
      <c r="D48" s="3" t="str">
        <f t="shared" si="1"/>
        <v>2024</v>
      </c>
      <c r="E48" s="1" t="s">
        <v>72</v>
      </c>
      <c r="F48" s="1" t="s">
        <v>61</v>
      </c>
      <c r="G48" s="1" t="s">
        <v>69</v>
      </c>
      <c r="H48" s="5">
        <v>36</v>
      </c>
      <c r="I48" s="6">
        <v>126554589</v>
      </c>
      <c r="J48" s="6">
        <v>79599340</v>
      </c>
      <c r="K48" s="6">
        <f t="shared" si="2"/>
        <v>46955249</v>
      </c>
      <c r="L48" s="1" t="s">
        <v>26</v>
      </c>
      <c r="M48" s="1" t="s">
        <v>434</v>
      </c>
      <c r="N48" s="1" t="s">
        <v>38</v>
      </c>
      <c r="O48" s="1" t="s">
        <v>20</v>
      </c>
      <c r="P48" s="4">
        <v>6.9</v>
      </c>
      <c r="Q48" s="4">
        <v>3.3</v>
      </c>
    </row>
    <row r="49" spans="1:17" x14ac:dyDescent="0.25">
      <c r="A49" s="1" t="s">
        <v>142</v>
      </c>
      <c r="B49" s="2">
        <v>45011</v>
      </c>
      <c r="C49" s="3" t="str">
        <f t="shared" si="0"/>
        <v>Mar</v>
      </c>
      <c r="D49" s="3" t="str">
        <f t="shared" si="1"/>
        <v>2023</v>
      </c>
      <c r="E49" s="1" t="s">
        <v>77</v>
      </c>
      <c r="F49" s="1" t="s">
        <v>31</v>
      </c>
      <c r="G49" s="1" t="s">
        <v>49</v>
      </c>
      <c r="H49" s="5">
        <v>36</v>
      </c>
      <c r="I49" s="6">
        <v>131654088</v>
      </c>
      <c r="J49" s="6">
        <v>0</v>
      </c>
      <c r="K49" s="6">
        <f t="shared" si="2"/>
        <v>131654088</v>
      </c>
      <c r="L49" s="1" t="s">
        <v>90</v>
      </c>
      <c r="M49" s="1" t="s">
        <v>435</v>
      </c>
      <c r="N49" s="1" t="s">
        <v>19</v>
      </c>
      <c r="O49" s="1" t="s">
        <v>44</v>
      </c>
      <c r="P49" s="4">
        <v>9.07</v>
      </c>
      <c r="Q49" s="4">
        <v>7.49</v>
      </c>
    </row>
    <row r="50" spans="1:17" x14ac:dyDescent="0.25">
      <c r="A50" s="1" t="s">
        <v>144</v>
      </c>
      <c r="B50" s="2">
        <v>45310</v>
      </c>
      <c r="C50" s="3" t="str">
        <f t="shared" si="0"/>
        <v>Jan</v>
      </c>
      <c r="D50" s="3" t="str">
        <f t="shared" si="1"/>
        <v>2024</v>
      </c>
      <c r="E50" s="1" t="s">
        <v>87</v>
      </c>
      <c r="F50" s="1" t="s">
        <v>61</v>
      </c>
      <c r="G50" s="1" t="s">
        <v>32</v>
      </c>
      <c r="H50" s="5">
        <v>23</v>
      </c>
      <c r="I50" s="6">
        <v>0</v>
      </c>
      <c r="J50" s="6">
        <v>0</v>
      </c>
      <c r="K50" s="6">
        <f t="shared" si="2"/>
        <v>0</v>
      </c>
      <c r="L50" s="1" t="s">
        <v>33</v>
      </c>
      <c r="M50" s="1" t="s">
        <v>435</v>
      </c>
      <c r="N50" s="1" t="s">
        <v>19</v>
      </c>
      <c r="O50" s="1" t="s">
        <v>44</v>
      </c>
      <c r="P50" s="4">
        <v>6.52</v>
      </c>
      <c r="Q50" s="4">
        <v>3.37</v>
      </c>
    </row>
    <row r="51" spans="1:17" x14ac:dyDescent="0.25">
      <c r="A51" s="1" t="s">
        <v>146</v>
      </c>
      <c r="B51" s="2">
        <v>44950</v>
      </c>
      <c r="C51" s="3" t="str">
        <f t="shared" si="0"/>
        <v>Jan</v>
      </c>
      <c r="D51" s="3" t="str">
        <f t="shared" si="1"/>
        <v>2023</v>
      </c>
      <c r="E51" s="1" t="s">
        <v>15</v>
      </c>
      <c r="F51" s="1" t="s">
        <v>16</v>
      </c>
      <c r="G51" s="1" t="s">
        <v>57</v>
      </c>
      <c r="H51" s="5">
        <v>2</v>
      </c>
      <c r="I51" s="6">
        <v>0</v>
      </c>
      <c r="J51" s="6">
        <v>0</v>
      </c>
      <c r="K51" s="6">
        <f t="shared" si="2"/>
        <v>0</v>
      </c>
      <c r="L51" s="1" t="s">
        <v>33</v>
      </c>
      <c r="M51" s="1" t="s">
        <v>435</v>
      </c>
      <c r="N51" s="1" t="s">
        <v>19</v>
      </c>
      <c r="O51" s="1" t="s">
        <v>20</v>
      </c>
      <c r="P51" s="4">
        <v>6.21</v>
      </c>
      <c r="Q51" s="4">
        <v>7.07</v>
      </c>
    </row>
    <row r="52" spans="1:17" x14ac:dyDescent="0.25">
      <c r="A52" s="1" t="s">
        <v>148</v>
      </c>
      <c r="B52" s="2">
        <v>45142</v>
      </c>
      <c r="C52" s="3" t="str">
        <f t="shared" si="0"/>
        <v>Aug</v>
      </c>
      <c r="D52" s="3" t="str">
        <f t="shared" si="1"/>
        <v>2023</v>
      </c>
      <c r="E52" s="1" t="s">
        <v>77</v>
      </c>
      <c r="F52" s="1" t="s">
        <v>31</v>
      </c>
      <c r="G52" s="1" t="s">
        <v>57</v>
      </c>
      <c r="H52" s="5">
        <v>17</v>
      </c>
      <c r="I52" s="6">
        <v>39753311</v>
      </c>
      <c r="J52" s="6">
        <v>19811174</v>
      </c>
      <c r="K52" s="6">
        <f t="shared" si="2"/>
        <v>19942137</v>
      </c>
      <c r="L52" s="1" t="s">
        <v>90</v>
      </c>
      <c r="M52" s="1" t="s">
        <v>435</v>
      </c>
      <c r="N52" s="1" t="s">
        <v>19</v>
      </c>
      <c r="O52" s="1" t="s">
        <v>44</v>
      </c>
      <c r="P52" s="4">
        <v>9.07</v>
      </c>
      <c r="Q52" s="4">
        <v>7.49</v>
      </c>
    </row>
    <row r="53" spans="1:17" x14ac:dyDescent="0.25">
      <c r="A53" s="1" t="s">
        <v>150</v>
      </c>
      <c r="B53" s="2">
        <v>45219</v>
      </c>
      <c r="C53" s="3" t="str">
        <f t="shared" si="0"/>
        <v>Oct</v>
      </c>
      <c r="D53" s="3" t="str">
        <f t="shared" si="1"/>
        <v>2023</v>
      </c>
      <c r="E53" s="1" t="s">
        <v>84</v>
      </c>
      <c r="F53" s="1" t="s">
        <v>42</v>
      </c>
      <c r="G53" s="1" t="s">
        <v>17</v>
      </c>
      <c r="H53" s="5">
        <v>37</v>
      </c>
      <c r="I53" s="6">
        <v>36546178</v>
      </c>
      <c r="J53" s="6">
        <v>0</v>
      </c>
      <c r="K53" s="6">
        <f t="shared" si="2"/>
        <v>36546178</v>
      </c>
      <c r="L53" s="1" t="s">
        <v>18</v>
      </c>
      <c r="M53" s="1" t="s">
        <v>433</v>
      </c>
      <c r="N53" s="1" t="s">
        <v>27</v>
      </c>
      <c r="O53" s="1" t="s">
        <v>44</v>
      </c>
      <c r="P53" s="4">
        <v>12.17</v>
      </c>
      <c r="Q53" s="4">
        <v>6.66</v>
      </c>
    </row>
    <row r="54" spans="1:17" x14ac:dyDescent="0.25">
      <c r="A54" s="1" t="s">
        <v>152</v>
      </c>
      <c r="B54" s="2">
        <v>45198</v>
      </c>
      <c r="C54" s="3" t="str">
        <f t="shared" si="0"/>
        <v>Sep</v>
      </c>
      <c r="D54" s="3" t="str">
        <f t="shared" si="1"/>
        <v>2023</v>
      </c>
      <c r="E54" s="1" t="s">
        <v>77</v>
      </c>
      <c r="F54" s="1" t="s">
        <v>31</v>
      </c>
      <c r="G54" s="1" t="s">
        <v>57</v>
      </c>
      <c r="H54" s="5">
        <v>32</v>
      </c>
      <c r="I54" s="6">
        <v>0</v>
      </c>
      <c r="J54" s="6">
        <v>0</v>
      </c>
      <c r="K54" s="6">
        <f t="shared" si="2"/>
        <v>0</v>
      </c>
      <c r="L54" s="1" t="s">
        <v>18</v>
      </c>
      <c r="M54" s="1" t="s">
        <v>433</v>
      </c>
      <c r="N54" s="1" t="s">
        <v>19</v>
      </c>
      <c r="O54" s="1" t="s">
        <v>20</v>
      </c>
      <c r="P54" s="4">
        <v>9.07</v>
      </c>
      <c r="Q54" s="4">
        <v>7.49</v>
      </c>
    </row>
    <row r="55" spans="1:17" x14ac:dyDescent="0.25">
      <c r="A55" s="1" t="s">
        <v>154</v>
      </c>
      <c r="B55" s="2">
        <v>45342</v>
      </c>
      <c r="C55" s="3" t="str">
        <f t="shared" si="0"/>
        <v>Feb</v>
      </c>
      <c r="D55" s="3" t="str">
        <f t="shared" si="1"/>
        <v>2024</v>
      </c>
      <c r="E55" s="1" t="s">
        <v>23</v>
      </c>
      <c r="F55" s="1" t="s">
        <v>24</v>
      </c>
      <c r="G55" s="1" t="s">
        <v>43</v>
      </c>
      <c r="H55" s="5">
        <v>2</v>
      </c>
      <c r="I55" s="6">
        <v>0</v>
      </c>
      <c r="J55" s="6">
        <v>0</v>
      </c>
      <c r="K55" s="6">
        <f t="shared" si="2"/>
        <v>0</v>
      </c>
      <c r="L55" s="1" t="s">
        <v>18</v>
      </c>
      <c r="M55" s="1" t="s">
        <v>433</v>
      </c>
      <c r="N55" s="1" t="s">
        <v>27</v>
      </c>
      <c r="O55" s="1" t="s">
        <v>44</v>
      </c>
      <c r="P55" s="4">
        <v>5.7</v>
      </c>
      <c r="Q55" s="4">
        <v>5.9</v>
      </c>
    </row>
    <row r="56" spans="1:17" x14ac:dyDescent="0.25">
      <c r="A56" s="1" t="s">
        <v>156</v>
      </c>
      <c r="B56" s="2">
        <v>45277</v>
      </c>
      <c r="C56" s="3" t="str">
        <f t="shared" si="0"/>
        <v>Dec</v>
      </c>
      <c r="D56" s="3" t="str">
        <f t="shared" si="1"/>
        <v>2023</v>
      </c>
      <c r="E56" s="1" t="s">
        <v>84</v>
      </c>
      <c r="F56" s="1" t="s">
        <v>42</v>
      </c>
      <c r="G56" s="1" t="s">
        <v>69</v>
      </c>
      <c r="H56" s="5">
        <v>27</v>
      </c>
      <c r="I56" s="6">
        <v>121244091</v>
      </c>
      <c r="J56" s="6">
        <v>0</v>
      </c>
      <c r="K56" s="6">
        <f t="shared" si="2"/>
        <v>121244091</v>
      </c>
      <c r="L56" s="1" t="s">
        <v>18</v>
      </c>
      <c r="M56" s="1" t="s">
        <v>433</v>
      </c>
      <c r="N56" s="1" t="s">
        <v>27</v>
      </c>
      <c r="O56" s="1" t="s">
        <v>20</v>
      </c>
      <c r="P56" s="4">
        <v>12.17</v>
      </c>
      <c r="Q56" s="4">
        <v>6.66</v>
      </c>
    </row>
    <row r="57" spans="1:17" x14ac:dyDescent="0.25">
      <c r="A57" s="1" t="s">
        <v>158</v>
      </c>
      <c r="B57" s="2">
        <v>45025</v>
      </c>
      <c r="C57" s="3" t="str">
        <f t="shared" si="0"/>
        <v>Apr</v>
      </c>
      <c r="D57" s="3" t="str">
        <f t="shared" si="1"/>
        <v>2023</v>
      </c>
      <c r="E57" s="1" t="s">
        <v>84</v>
      </c>
      <c r="F57" s="1" t="s">
        <v>42</v>
      </c>
      <c r="G57" s="1" t="s">
        <v>25</v>
      </c>
      <c r="H57" s="5">
        <v>35</v>
      </c>
      <c r="I57" s="6">
        <v>0</v>
      </c>
      <c r="J57" s="6">
        <v>80424974</v>
      </c>
      <c r="K57" s="6">
        <f t="shared" si="2"/>
        <v>-80424974</v>
      </c>
      <c r="L57" s="1" t="s">
        <v>90</v>
      </c>
      <c r="M57" s="1" t="s">
        <v>435</v>
      </c>
      <c r="N57" s="1" t="s">
        <v>34</v>
      </c>
      <c r="O57" s="1" t="s">
        <v>20</v>
      </c>
      <c r="P57" s="4">
        <v>12.17</v>
      </c>
      <c r="Q57" s="4">
        <v>6.66</v>
      </c>
    </row>
    <row r="58" spans="1:17" x14ac:dyDescent="0.25">
      <c r="A58" s="1" t="s">
        <v>160</v>
      </c>
      <c r="B58" s="2">
        <v>45047</v>
      </c>
      <c r="C58" s="3" t="str">
        <f t="shared" si="0"/>
        <v>May</v>
      </c>
      <c r="D58" s="3" t="str">
        <f t="shared" si="1"/>
        <v>2023</v>
      </c>
      <c r="E58" s="1" t="s">
        <v>77</v>
      </c>
      <c r="F58" s="1" t="s">
        <v>31</v>
      </c>
      <c r="G58" s="1" t="s">
        <v>32</v>
      </c>
      <c r="H58" s="5">
        <v>39</v>
      </c>
      <c r="I58" s="6">
        <v>116143465</v>
      </c>
      <c r="J58" s="6">
        <v>0</v>
      </c>
      <c r="K58" s="6">
        <f t="shared" si="2"/>
        <v>116143465</v>
      </c>
      <c r="L58" s="1" t="s">
        <v>26</v>
      </c>
      <c r="M58" s="1" t="s">
        <v>434</v>
      </c>
      <c r="N58" s="1" t="s">
        <v>34</v>
      </c>
      <c r="O58" s="1" t="s">
        <v>20</v>
      </c>
      <c r="P58" s="4">
        <v>9.07</v>
      </c>
      <c r="Q58" s="4">
        <v>7.49</v>
      </c>
    </row>
    <row r="59" spans="1:17" x14ac:dyDescent="0.25">
      <c r="A59" s="1" t="s">
        <v>162</v>
      </c>
      <c r="B59" s="2">
        <v>45246</v>
      </c>
      <c r="C59" s="3" t="str">
        <f t="shared" si="0"/>
        <v>Nov</v>
      </c>
      <c r="D59" s="3" t="str">
        <f t="shared" si="1"/>
        <v>2023</v>
      </c>
      <c r="E59" s="1" t="s">
        <v>41</v>
      </c>
      <c r="F59" s="1" t="s">
        <v>42</v>
      </c>
      <c r="G59" s="1" t="s">
        <v>69</v>
      </c>
      <c r="H59" s="5">
        <v>5</v>
      </c>
      <c r="I59" s="6">
        <v>82813467</v>
      </c>
      <c r="J59" s="6">
        <v>0</v>
      </c>
      <c r="K59" s="6">
        <f t="shared" si="2"/>
        <v>82813467</v>
      </c>
      <c r="L59" s="1" t="s">
        <v>18</v>
      </c>
      <c r="M59" s="1" t="s">
        <v>433</v>
      </c>
      <c r="N59" s="1" t="s">
        <v>38</v>
      </c>
      <c r="O59" s="1" t="s">
        <v>44</v>
      </c>
      <c r="P59" s="4">
        <v>10.52</v>
      </c>
      <c r="Q59" s="4">
        <v>7.44</v>
      </c>
    </row>
    <row r="60" spans="1:17" x14ac:dyDescent="0.25">
      <c r="A60" s="1" t="s">
        <v>164</v>
      </c>
      <c r="B60" s="2">
        <v>45360</v>
      </c>
      <c r="C60" s="3" t="str">
        <f t="shared" si="0"/>
        <v>Mar</v>
      </c>
      <c r="D60" s="3" t="str">
        <f t="shared" si="1"/>
        <v>2024</v>
      </c>
      <c r="E60" s="1" t="s">
        <v>72</v>
      </c>
      <c r="F60" s="1" t="s">
        <v>61</v>
      </c>
      <c r="G60" s="1" t="s">
        <v>69</v>
      </c>
      <c r="H60" s="5">
        <v>9</v>
      </c>
      <c r="I60" s="6">
        <v>93312082</v>
      </c>
      <c r="J60" s="6">
        <v>0</v>
      </c>
      <c r="K60" s="6">
        <f t="shared" si="2"/>
        <v>93312082</v>
      </c>
      <c r="L60" s="1" t="s">
        <v>90</v>
      </c>
      <c r="M60" s="1" t="s">
        <v>435</v>
      </c>
      <c r="N60" s="1" t="s">
        <v>38</v>
      </c>
      <c r="O60" s="1" t="s">
        <v>44</v>
      </c>
      <c r="P60" s="4">
        <v>6.9</v>
      </c>
      <c r="Q60" s="4">
        <v>3.3</v>
      </c>
    </row>
    <row r="61" spans="1:17" x14ac:dyDescent="0.25">
      <c r="A61" s="1" t="s">
        <v>166</v>
      </c>
      <c r="B61" s="2">
        <v>45285</v>
      </c>
      <c r="C61" s="3" t="str">
        <f t="shared" si="0"/>
        <v>Dec</v>
      </c>
      <c r="D61" s="3" t="str">
        <f t="shared" si="1"/>
        <v>2023</v>
      </c>
      <c r="E61" s="1" t="s">
        <v>84</v>
      </c>
      <c r="F61" s="1" t="s">
        <v>42</v>
      </c>
      <c r="G61" s="1" t="s">
        <v>43</v>
      </c>
      <c r="H61" s="5">
        <v>5</v>
      </c>
      <c r="I61" s="6">
        <v>0</v>
      </c>
      <c r="J61" s="6">
        <v>45646850</v>
      </c>
      <c r="K61" s="6">
        <f t="shared" si="2"/>
        <v>-45646850</v>
      </c>
      <c r="L61" s="1" t="s">
        <v>26</v>
      </c>
      <c r="M61" s="1" t="s">
        <v>434</v>
      </c>
      <c r="N61" s="1" t="s">
        <v>34</v>
      </c>
      <c r="O61" s="1" t="s">
        <v>44</v>
      </c>
      <c r="P61" s="4">
        <v>12.17</v>
      </c>
      <c r="Q61" s="4">
        <v>6.66</v>
      </c>
    </row>
    <row r="62" spans="1:17" x14ac:dyDescent="0.25">
      <c r="A62" s="1" t="s">
        <v>168</v>
      </c>
      <c r="B62" s="2">
        <v>45190</v>
      </c>
      <c r="C62" s="3" t="str">
        <f t="shared" si="0"/>
        <v>Sep</v>
      </c>
      <c r="D62" s="3" t="str">
        <f t="shared" si="1"/>
        <v>2023</v>
      </c>
      <c r="E62" s="1" t="s">
        <v>30</v>
      </c>
      <c r="F62" s="1" t="s">
        <v>31</v>
      </c>
      <c r="G62" s="1" t="s">
        <v>43</v>
      </c>
      <c r="H62" s="5">
        <v>4</v>
      </c>
      <c r="I62" s="6">
        <v>63731531</v>
      </c>
      <c r="J62" s="6">
        <v>83260677</v>
      </c>
      <c r="K62" s="6">
        <f t="shared" si="2"/>
        <v>-19529146</v>
      </c>
      <c r="L62" s="1" t="s">
        <v>26</v>
      </c>
      <c r="M62" s="1" t="s">
        <v>434</v>
      </c>
      <c r="N62" s="1" t="s">
        <v>19</v>
      </c>
      <c r="O62" s="1" t="s">
        <v>20</v>
      </c>
      <c r="P62" s="4">
        <v>7.73</v>
      </c>
      <c r="Q62" s="4">
        <v>8.5399999999999991</v>
      </c>
    </row>
    <row r="63" spans="1:17" x14ac:dyDescent="0.25">
      <c r="A63" s="1" t="s">
        <v>170</v>
      </c>
      <c r="B63" s="2">
        <v>45283</v>
      </c>
      <c r="C63" s="3" t="str">
        <f t="shared" si="0"/>
        <v>Dec</v>
      </c>
      <c r="D63" s="3" t="str">
        <f t="shared" si="1"/>
        <v>2023</v>
      </c>
      <c r="E63" s="1" t="s">
        <v>77</v>
      </c>
      <c r="F63" s="1" t="s">
        <v>31</v>
      </c>
      <c r="G63" s="1" t="s">
        <v>49</v>
      </c>
      <c r="H63" s="5">
        <v>14</v>
      </c>
      <c r="I63" s="6">
        <v>28536684</v>
      </c>
      <c r="J63" s="6">
        <v>0</v>
      </c>
      <c r="K63" s="6">
        <f t="shared" si="2"/>
        <v>28536684</v>
      </c>
      <c r="L63" s="1" t="s">
        <v>33</v>
      </c>
      <c r="M63" s="1" t="s">
        <v>435</v>
      </c>
      <c r="N63" s="1" t="s">
        <v>34</v>
      </c>
      <c r="O63" s="1" t="s">
        <v>20</v>
      </c>
      <c r="P63" s="4">
        <v>9.07</v>
      </c>
      <c r="Q63" s="4">
        <v>7.49</v>
      </c>
    </row>
    <row r="64" spans="1:17" x14ac:dyDescent="0.25">
      <c r="A64" s="1" t="s">
        <v>172</v>
      </c>
      <c r="B64" s="2">
        <v>45015</v>
      </c>
      <c r="C64" s="3" t="str">
        <f t="shared" si="0"/>
        <v>Mar</v>
      </c>
      <c r="D64" s="3" t="str">
        <f t="shared" si="1"/>
        <v>2023</v>
      </c>
      <c r="E64" s="1" t="s">
        <v>52</v>
      </c>
      <c r="F64" s="1" t="s">
        <v>42</v>
      </c>
      <c r="G64" s="1" t="s">
        <v>25</v>
      </c>
      <c r="H64" s="5">
        <v>13</v>
      </c>
      <c r="I64" s="6">
        <v>0</v>
      </c>
      <c r="J64" s="6">
        <v>0</v>
      </c>
      <c r="K64" s="6">
        <f t="shared" si="2"/>
        <v>0</v>
      </c>
      <c r="L64" s="1" t="s">
        <v>26</v>
      </c>
      <c r="M64" s="1" t="s">
        <v>434</v>
      </c>
      <c r="N64" s="1" t="s">
        <v>34</v>
      </c>
      <c r="O64" s="1" t="s">
        <v>44</v>
      </c>
      <c r="P64" s="4">
        <v>12.99</v>
      </c>
      <c r="Q64" s="4">
        <v>7.6</v>
      </c>
    </row>
    <row r="65" spans="1:17" x14ac:dyDescent="0.25">
      <c r="A65" s="1" t="s">
        <v>174</v>
      </c>
      <c r="B65" s="2">
        <v>45156</v>
      </c>
      <c r="C65" s="3" t="str">
        <f t="shared" si="0"/>
        <v>Aug</v>
      </c>
      <c r="D65" s="3" t="str">
        <f t="shared" si="1"/>
        <v>2023</v>
      </c>
      <c r="E65" s="1" t="s">
        <v>60</v>
      </c>
      <c r="F65" s="1" t="s">
        <v>61</v>
      </c>
      <c r="G65" s="1" t="s">
        <v>32</v>
      </c>
      <c r="H65" s="5">
        <v>40</v>
      </c>
      <c r="I65" s="6">
        <v>0</v>
      </c>
      <c r="J65" s="6">
        <v>0</v>
      </c>
      <c r="K65" s="6">
        <f t="shared" si="2"/>
        <v>0</v>
      </c>
      <c r="L65" s="1" t="s">
        <v>26</v>
      </c>
      <c r="M65" s="1" t="s">
        <v>434</v>
      </c>
      <c r="N65" s="1" t="s">
        <v>38</v>
      </c>
      <c r="O65" s="1" t="s">
        <v>20</v>
      </c>
      <c r="P65" s="4">
        <v>7.38</v>
      </c>
      <c r="Q65" s="4">
        <v>3.93</v>
      </c>
    </row>
    <row r="66" spans="1:17" x14ac:dyDescent="0.25">
      <c r="A66" s="1" t="s">
        <v>176</v>
      </c>
      <c r="B66" s="2">
        <v>45154</v>
      </c>
      <c r="C66" s="3" t="str">
        <f t="shared" si="0"/>
        <v>Aug</v>
      </c>
      <c r="D66" s="3" t="str">
        <f t="shared" si="1"/>
        <v>2023</v>
      </c>
      <c r="E66" s="1" t="s">
        <v>64</v>
      </c>
      <c r="F66" s="1" t="s">
        <v>42</v>
      </c>
      <c r="G66" s="1" t="s">
        <v>57</v>
      </c>
      <c r="H66" s="5">
        <v>11</v>
      </c>
      <c r="I66" s="6">
        <v>0</v>
      </c>
      <c r="J66" s="6">
        <v>0</v>
      </c>
      <c r="K66" s="6">
        <f t="shared" si="2"/>
        <v>0</v>
      </c>
      <c r="L66" s="1" t="s">
        <v>33</v>
      </c>
      <c r="M66" s="1" t="s">
        <v>435</v>
      </c>
      <c r="N66" s="1" t="s">
        <v>19</v>
      </c>
      <c r="O66" s="1" t="s">
        <v>44</v>
      </c>
      <c r="P66" s="4">
        <v>12</v>
      </c>
      <c r="Q66" s="4">
        <v>8.52</v>
      </c>
    </row>
    <row r="67" spans="1:17" x14ac:dyDescent="0.25">
      <c r="A67" s="1" t="s">
        <v>178</v>
      </c>
      <c r="B67" s="2">
        <v>45372</v>
      </c>
      <c r="C67" s="3" t="str">
        <f t="shared" ref="C67:C130" si="3">TEXT(B67,"mmm")</f>
        <v>Mar</v>
      </c>
      <c r="D67" s="3" t="str">
        <f t="shared" ref="D67:D130" si="4">TEXT(B67,"yyyy")</f>
        <v>2024</v>
      </c>
      <c r="E67" s="1" t="s">
        <v>77</v>
      </c>
      <c r="F67" s="1" t="s">
        <v>31</v>
      </c>
      <c r="G67" s="1" t="s">
        <v>69</v>
      </c>
      <c r="H67" s="5">
        <v>6</v>
      </c>
      <c r="I67" s="6">
        <v>0</v>
      </c>
      <c r="J67" s="6">
        <v>0</v>
      </c>
      <c r="K67" s="6">
        <f t="shared" ref="K67:K130" si="5">I67-J67</f>
        <v>0</v>
      </c>
      <c r="L67" s="1" t="s">
        <v>33</v>
      </c>
      <c r="M67" s="1" t="s">
        <v>435</v>
      </c>
      <c r="N67" s="1" t="s">
        <v>19</v>
      </c>
      <c r="O67" s="1" t="s">
        <v>44</v>
      </c>
      <c r="P67" s="4">
        <v>9.07</v>
      </c>
      <c r="Q67" s="4">
        <v>7.49</v>
      </c>
    </row>
    <row r="68" spans="1:17" x14ac:dyDescent="0.25">
      <c r="A68" s="1" t="s">
        <v>180</v>
      </c>
      <c r="B68" s="2">
        <v>45315</v>
      </c>
      <c r="C68" s="3" t="str">
        <f t="shared" si="3"/>
        <v>Jan</v>
      </c>
      <c r="D68" s="3" t="str">
        <f t="shared" si="4"/>
        <v>2024</v>
      </c>
      <c r="E68" s="1" t="s">
        <v>77</v>
      </c>
      <c r="F68" s="1" t="s">
        <v>31</v>
      </c>
      <c r="G68" s="1" t="s">
        <v>43</v>
      </c>
      <c r="H68" s="5">
        <v>16</v>
      </c>
      <c r="I68" s="6">
        <v>10211622</v>
      </c>
      <c r="J68" s="6">
        <v>0</v>
      </c>
      <c r="K68" s="6">
        <f t="shared" si="5"/>
        <v>10211622</v>
      </c>
      <c r="L68" s="1" t="s">
        <v>90</v>
      </c>
      <c r="M68" s="1" t="s">
        <v>435</v>
      </c>
      <c r="N68" s="1" t="s">
        <v>27</v>
      </c>
      <c r="O68" s="1" t="s">
        <v>44</v>
      </c>
      <c r="P68" s="4">
        <v>9.07</v>
      </c>
      <c r="Q68" s="4">
        <v>7.49</v>
      </c>
    </row>
    <row r="69" spans="1:17" x14ac:dyDescent="0.25">
      <c r="A69" s="1" t="s">
        <v>181</v>
      </c>
      <c r="B69" s="2">
        <v>44930</v>
      </c>
      <c r="C69" s="3" t="str">
        <f t="shared" si="3"/>
        <v>Jan</v>
      </c>
      <c r="D69" s="3" t="str">
        <f t="shared" si="4"/>
        <v>2023</v>
      </c>
      <c r="E69" s="1" t="s">
        <v>41</v>
      </c>
      <c r="F69" s="1" t="s">
        <v>42</v>
      </c>
      <c r="G69" s="1" t="s">
        <v>57</v>
      </c>
      <c r="H69" s="5">
        <v>36</v>
      </c>
      <c r="I69" s="6">
        <v>0</v>
      </c>
      <c r="J69" s="6">
        <v>0</v>
      </c>
      <c r="K69" s="6">
        <f t="shared" si="5"/>
        <v>0</v>
      </c>
      <c r="L69" s="1" t="s">
        <v>90</v>
      </c>
      <c r="M69" s="1" t="s">
        <v>435</v>
      </c>
      <c r="N69" s="1" t="s">
        <v>34</v>
      </c>
      <c r="O69" s="1" t="s">
        <v>44</v>
      </c>
      <c r="P69" s="4">
        <v>10.52</v>
      </c>
      <c r="Q69" s="4">
        <v>7.44</v>
      </c>
    </row>
    <row r="70" spans="1:17" x14ac:dyDescent="0.25">
      <c r="A70" s="1" t="s">
        <v>183</v>
      </c>
      <c r="B70" s="2">
        <v>45059</v>
      </c>
      <c r="C70" s="3" t="str">
        <f t="shared" si="3"/>
        <v>May</v>
      </c>
      <c r="D70" s="3" t="str">
        <f t="shared" si="4"/>
        <v>2023</v>
      </c>
      <c r="E70" s="1" t="s">
        <v>60</v>
      </c>
      <c r="F70" s="1" t="s">
        <v>61</v>
      </c>
      <c r="G70" s="1" t="s">
        <v>69</v>
      </c>
      <c r="H70" s="5">
        <v>38</v>
      </c>
      <c r="I70" s="6">
        <v>60325495</v>
      </c>
      <c r="J70" s="6">
        <v>0</v>
      </c>
      <c r="K70" s="6">
        <f t="shared" si="5"/>
        <v>60325495</v>
      </c>
      <c r="L70" s="1" t="s">
        <v>18</v>
      </c>
      <c r="M70" s="1" t="s">
        <v>433</v>
      </c>
      <c r="N70" s="1" t="s">
        <v>34</v>
      </c>
      <c r="O70" s="1" t="s">
        <v>44</v>
      </c>
      <c r="P70" s="4">
        <v>7.38</v>
      </c>
      <c r="Q70" s="4">
        <v>3.93</v>
      </c>
    </row>
    <row r="71" spans="1:17" x14ac:dyDescent="0.25">
      <c r="A71" s="1" t="s">
        <v>185</v>
      </c>
      <c r="B71" s="2">
        <v>45220</v>
      </c>
      <c r="C71" s="3" t="str">
        <f t="shared" si="3"/>
        <v>Oct</v>
      </c>
      <c r="D71" s="3" t="str">
        <f t="shared" si="4"/>
        <v>2023</v>
      </c>
      <c r="E71" s="1" t="s">
        <v>72</v>
      </c>
      <c r="F71" s="1" t="s">
        <v>61</v>
      </c>
      <c r="G71" s="1" t="s">
        <v>57</v>
      </c>
      <c r="H71" s="5">
        <v>25</v>
      </c>
      <c r="I71" s="6">
        <v>0</v>
      </c>
      <c r="J71" s="6">
        <v>0</v>
      </c>
      <c r="K71" s="6">
        <f t="shared" si="5"/>
        <v>0</v>
      </c>
      <c r="L71" s="1" t="s">
        <v>90</v>
      </c>
      <c r="M71" s="1" t="s">
        <v>435</v>
      </c>
      <c r="N71" s="1" t="s">
        <v>34</v>
      </c>
      <c r="O71" s="1" t="s">
        <v>44</v>
      </c>
      <c r="P71" s="4">
        <v>6.9</v>
      </c>
      <c r="Q71" s="4">
        <v>3.3</v>
      </c>
    </row>
    <row r="72" spans="1:17" x14ac:dyDescent="0.25">
      <c r="A72" s="1" t="s">
        <v>187</v>
      </c>
      <c r="B72" s="2">
        <v>45322</v>
      </c>
      <c r="C72" s="3" t="str">
        <f t="shared" si="3"/>
        <v>Jan</v>
      </c>
      <c r="D72" s="3" t="str">
        <f t="shared" si="4"/>
        <v>2024</v>
      </c>
      <c r="E72" s="1" t="s">
        <v>84</v>
      </c>
      <c r="F72" s="1" t="s">
        <v>42</v>
      </c>
      <c r="G72" s="1" t="s">
        <v>43</v>
      </c>
      <c r="H72" s="5">
        <v>3</v>
      </c>
      <c r="I72" s="6">
        <v>16813928</v>
      </c>
      <c r="J72" s="6">
        <v>0</v>
      </c>
      <c r="K72" s="6">
        <f t="shared" si="5"/>
        <v>16813928</v>
      </c>
      <c r="L72" s="1" t="s">
        <v>33</v>
      </c>
      <c r="M72" s="1" t="s">
        <v>435</v>
      </c>
      <c r="N72" s="1" t="s">
        <v>38</v>
      </c>
      <c r="O72" s="1" t="s">
        <v>20</v>
      </c>
      <c r="P72" s="4">
        <v>12.17</v>
      </c>
      <c r="Q72" s="4">
        <v>6.66</v>
      </c>
    </row>
    <row r="73" spans="1:17" x14ac:dyDescent="0.25">
      <c r="A73" s="1" t="s">
        <v>189</v>
      </c>
      <c r="B73" s="2">
        <v>45043</v>
      </c>
      <c r="C73" s="3" t="str">
        <f t="shared" si="3"/>
        <v>Apr</v>
      </c>
      <c r="D73" s="3" t="str">
        <f t="shared" si="4"/>
        <v>2023</v>
      </c>
      <c r="E73" s="1" t="s">
        <v>87</v>
      </c>
      <c r="F73" s="1" t="s">
        <v>61</v>
      </c>
      <c r="G73" s="1" t="s">
        <v>25</v>
      </c>
      <c r="H73" s="5">
        <v>12</v>
      </c>
      <c r="I73" s="6">
        <v>40512888</v>
      </c>
      <c r="J73" s="6">
        <v>0</v>
      </c>
      <c r="K73" s="6">
        <f t="shared" si="5"/>
        <v>40512888</v>
      </c>
      <c r="L73" s="1" t="s">
        <v>26</v>
      </c>
      <c r="M73" s="1" t="s">
        <v>434</v>
      </c>
      <c r="N73" s="1" t="s">
        <v>27</v>
      </c>
      <c r="O73" s="1" t="s">
        <v>44</v>
      </c>
      <c r="P73" s="4">
        <v>6.52</v>
      </c>
      <c r="Q73" s="4">
        <v>3.37</v>
      </c>
    </row>
    <row r="74" spans="1:17" x14ac:dyDescent="0.25">
      <c r="A74" s="1" t="s">
        <v>191</v>
      </c>
      <c r="B74" s="2">
        <v>45241</v>
      </c>
      <c r="C74" s="3" t="str">
        <f t="shared" si="3"/>
        <v>Nov</v>
      </c>
      <c r="D74" s="3" t="str">
        <f t="shared" si="4"/>
        <v>2023</v>
      </c>
      <c r="E74" s="1" t="s">
        <v>77</v>
      </c>
      <c r="F74" s="1" t="s">
        <v>31</v>
      </c>
      <c r="G74" s="1" t="s">
        <v>57</v>
      </c>
      <c r="H74" s="5">
        <v>15</v>
      </c>
      <c r="I74" s="6">
        <v>0</v>
      </c>
      <c r="J74" s="6">
        <v>48232000</v>
      </c>
      <c r="K74" s="6">
        <f t="shared" si="5"/>
        <v>-48232000</v>
      </c>
      <c r="L74" s="1" t="s">
        <v>18</v>
      </c>
      <c r="M74" s="1" t="s">
        <v>433</v>
      </c>
      <c r="N74" s="1" t="s">
        <v>34</v>
      </c>
      <c r="O74" s="1" t="s">
        <v>44</v>
      </c>
      <c r="P74" s="4">
        <v>9.07</v>
      </c>
      <c r="Q74" s="4">
        <v>7.49</v>
      </c>
    </row>
    <row r="75" spans="1:17" x14ac:dyDescent="0.25">
      <c r="A75" s="1" t="s">
        <v>193</v>
      </c>
      <c r="B75" s="2">
        <v>45417</v>
      </c>
      <c r="C75" s="3" t="str">
        <f t="shared" si="3"/>
        <v>May</v>
      </c>
      <c r="D75" s="3" t="str">
        <f t="shared" si="4"/>
        <v>2024</v>
      </c>
      <c r="E75" s="1" t="s">
        <v>67</v>
      </c>
      <c r="F75" s="1" t="s">
        <v>68</v>
      </c>
      <c r="G75" s="1" t="s">
        <v>43</v>
      </c>
      <c r="H75" s="5">
        <v>30</v>
      </c>
      <c r="I75" s="6">
        <v>0</v>
      </c>
      <c r="J75" s="6">
        <v>63541531</v>
      </c>
      <c r="K75" s="6">
        <f t="shared" si="5"/>
        <v>-63541531</v>
      </c>
      <c r="L75" s="1" t="s">
        <v>26</v>
      </c>
      <c r="M75" s="1" t="s">
        <v>434</v>
      </c>
      <c r="N75" s="1" t="s">
        <v>27</v>
      </c>
      <c r="O75" s="1" t="s">
        <v>20</v>
      </c>
      <c r="P75" s="4">
        <v>11.83</v>
      </c>
      <c r="Q75" s="4">
        <v>13.15</v>
      </c>
    </row>
    <row r="76" spans="1:17" x14ac:dyDescent="0.25">
      <c r="A76" s="1" t="s">
        <v>195</v>
      </c>
      <c r="B76" s="2">
        <v>45341</v>
      </c>
      <c r="C76" s="3" t="str">
        <f t="shared" si="3"/>
        <v>Feb</v>
      </c>
      <c r="D76" s="3" t="str">
        <f t="shared" si="4"/>
        <v>2024</v>
      </c>
      <c r="E76" s="1" t="s">
        <v>23</v>
      </c>
      <c r="F76" s="1" t="s">
        <v>24</v>
      </c>
      <c r="G76" s="1" t="s">
        <v>69</v>
      </c>
      <c r="H76" s="5">
        <v>21</v>
      </c>
      <c r="I76" s="6">
        <v>131784158</v>
      </c>
      <c r="J76" s="6">
        <v>42881158</v>
      </c>
      <c r="K76" s="6">
        <f t="shared" si="5"/>
        <v>88903000</v>
      </c>
      <c r="L76" s="1" t="s">
        <v>18</v>
      </c>
      <c r="M76" s="1" t="s">
        <v>433</v>
      </c>
      <c r="N76" s="1" t="s">
        <v>19</v>
      </c>
      <c r="O76" s="1" t="s">
        <v>44</v>
      </c>
      <c r="P76" s="4">
        <v>5.7</v>
      </c>
      <c r="Q76" s="4">
        <v>5.9</v>
      </c>
    </row>
    <row r="77" spans="1:17" x14ac:dyDescent="0.25">
      <c r="A77" s="1" t="s">
        <v>197</v>
      </c>
      <c r="B77" s="2">
        <v>45408</v>
      </c>
      <c r="C77" s="3" t="str">
        <f t="shared" si="3"/>
        <v>Apr</v>
      </c>
      <c r="D77" s="3" t="str">
        <f t="shared" si="4"/>
        <v>2024</v>
      </c>
      <c r="E77" s="1" t="s">
        <v>60</v>
      </c>
      <c r="F77" s="1" t="s">
        <v>61</v>
      </c>
      <c r="G77" s="1" t="s">
        <v>32</v>
      </c>
      <c r="H77" s="5">
        <v>34</v>
      </c>
      <c r="I77" s="6">
        <v>0</v>
      </c>
      <c r="J77" s="6">
        <v>0</v>
      </c>
      <c r="K77" s="6">
        <f t="shared" si="5"/>
        <v>0</v>
      </c>
      <c r="L77" s="1" t="s">
        <v>33</v>
      </c>
      <c r="M77" s="1" t="s">
        <v>435</v>
      </c>
      <c r="N77" s="1" t="s">
        <v>27</v>
      </c>
      <c r="O77" s="1" t="s">
        <v>44</v>
      </c>
      <c r="P77" s="4">
        <v>7.38</v>
      </c>
      <c r="Q77" s="4">
        <v>3.93</v>
      </c>
    </row>
    <row r="78" spans="1:17" x14ac:dyDescent="0.25">
      <c r="A78" s="1" t="s">
        <v>199</v>
      </c>
      <c r="B78" s="2">
        <v>45308</v>
      </c>
      <c r="C78" s="3" t="str">
        <f t="shared" si="3"/>
        <v>Jan</v>
      </c>
      <c r="D78" s="3" t="str">
        <f t="shared" si="4"/>
        <v>2024</v>
      </c>
      <c r="E78" s="1" t="s">
        <v>84</v>
      </c>
      <c r="F78" s="1" t="s">
        <v>42</v>
      </c>
      <c r="G78" s="1" t="s">
        <v>49</v>
      </c>
      <c r="H78" s="5">
        <v>28</v>
      </c>
      <c r="I78" s="6">
        <v>0</v>
      </c>
      <c r="J78" s="6">
        <v>80341878</v>
      </c>
      <c r="K78" s="6">
        <f t="shared" si="5"/>
        <v>-80341878</v>
      </c>
      <c r="L78" s="1" t="s">
        <v>18</v>
      </c>
      <c r="M78" s="1" t="s">
        <v>433</v>
      </c>
      <c r="N78" s="1" t="s">
        <v>27</v>
      </c>
      <c r="O78" s="1" t="s">
        <v>44</v>
      </c>
      <c r="P78" s="4">
        <v>12.17</v>
      </c>
      <c r="Q78" s="4">
        <v>6.66</v>
      </c>
    </row>
    <row r="79" spans="1:17" x14ac:dyDescent="0.25">
      <c r="A79" s="1" t="s">
        <v>200</v>
      </c>
      <c r="B79" s="2">
        <v>45232</v>
      </c>
      <c r="C79" s="3" t="str">
        <f t="shared" si="3"/>
        <v>Nov</v>
      </c>
      <c r="D79" s="3" t="str">
        <f t="shared" si="4"/>
        <v>2023</v>
      </c>
      <c r="E79" s="1" t="s">
        <v>87</v>
      </c>
      <c r="F79" s="1" t="s">
        <v>61</v>
      </c>
      <c r="G79" s="1" t="s">
        <v>69</v>
      </c>
      <c r="H79" s="5">
        <v>3</v>
      </c>
      <c r="I79" s="6">
        <v>28781178</v>
      </c>
      <c r="J79" s="6">
        <v>61437044</v>
      </c>
      <c r="K79" s="6">
        <f t="shared" si="5"/>
        <v>-32655866</v>
      </c>
      <c r="L79" s="1" t="s">
        <v>33</v>
      </c>
      <c r="M79" s="1" t="s">
        <v>435</v>
      </c>
      <c r="N79" s="1" t="s">
        <v>38</v>
      </c>
      <c r="O79" s="1" t="s">
        <v>44</v>
      </c>
      <c r="P79" s="4">
        <v>6.52</v>
      </c>
      <c r="Q79" s="4">
        <v>3.37</v>
      </c>
    </row>
    <row r="80" spans="1:17" x14ac:dyDescent="0.25">
      <c r="A80" s="1" t="s">
        <v>202</v>
      </c>
      <c r="B80" s="2">
        <v>45177</v>
      </c>
      <c r="C80" s="3" t="str">
        <f t="shared" si="3"/>
        <v>Sep</v>
      </c>
      <c r="D80" s="3" t="str">
        <f t="shared" si="4"/>
        <v>2023</v>
      </c>
      <c r="E80" s="1" t="s">
        <v>84</v>
      </c>
      <c r="F80" s="1" t="s">
        <v>42</v>
      </c>
      <c r="G80" s="1" t="s">
        <v>17</v>
      </c>
      <c r="H80" s="5">
        <v>14</v>
      </c>
      <c r="I80" s="6">
        <v>126735328</v>
      </c>
      <c r="J80" s="6">
        <v>54755163</v>
      </c>
      <c r="K80" s="6">
        <f t="shared" si="5"/>
        <v>71980165</v>
      </c>
      <c r="L80" s="1" t="s">
        <v>26</v>
      </c>
      <c r="M80" s="1" t="s">
        <v>434</v>
      </c>
      <c r="N80" s="1" t="s">
        <v>38</v>
      </c>
      <c r="O80" s="1" t="s">
        <v>44</v>
      </c>
      <c r="P80" s="4">
        <v>12.17</v>
      </c>
      <c r="Q80" s="4">
        <v>6.66</v>
      </c>
    </row>
    <row r="81" spans="1:17" x14ac:dyDescent="0.25">
      <c r="A81" s="1" t="s">
        <v>204</v>
      </c>
      <c r="B81" s="2">
        <v>45342</v>
      </c>
      <c r="C81" s="3" t="str">
        <f t="shared" si="3"/>
        <v>Feb</v>
      </c>
      <c r="D81" s="3" t="str">
        <f t="shared" si="4"/>
        <v>2024</v>
      </c>
      <c r="E81" s="1" t="s">
        <v>60</v>
      </c>
      <c r="F81" s="1" t="s">
        <v>61</v>
      </c>
      <c r="G81" s="1" t="s">
        <v>49</v>
      </c>
      <c r="H81" s="5">
        <v>15</v>
      </c>
      <c r="I81" s="6">
        <v>15299847</v>
      </c>
      <c r="J81" s="6">
        <v>0</v>
      </c>
      <c r="K81" s="6">
        <f t="shared" si="5"/>
        <v>15299847</v>
      </c>
      <c r="L81" s="1" t="s">
        <v>33</v>
      </c>
      <c r="M81" s="1" t="s">
        <v>435</v>
      </c>
      <c r="N81" s="1" t="s">
        <v>19</v>
      </c>
      <c r="O81" s="1" t="s">
        <v>44</v>
      </c>
      <c r="P81" s="4">
        <v>7.38</v>
      </c>
      <c r="Q81" s="4">
        <v>3.93</v>
      </c>
    </row>
    <row r="82" spans="1:17" x14ac:dyDescent="0.25">
      <c r="A82" s="1" t="s">
        <v>205</v>
      </c>
      <c r="B82" s="2">
        <v>45221</v>
      </c>
      <c r="C82" s="3" t="str">
        <f t="shared" si="3"/>
        <v>Oct</v>
      </c>
      <c r="D82" s="3" t="str">
        <f t="shared" si="4"/>
        <v>2023</v>
      </c>
      <c r="E82" s="1" t="s">
        <v>60</v>
      </c>
      <c r="F82" s="1" t="s">
        <v>61</v>
      </c>
      <c r="G82" s="1" t="s">
        <v>17</v>
      </c>
      <c r="H82" s="5">
        <v>2</v>
      </c>
      <c r="I82" s="6">
        <v>25737036</v>
      </c>
      <c r="J82" s="6">
        <v>0</v>
      </c>
      <c r="K82" s="6">
        <f t="shared" si="5"/>
        <v>25737036</v>
      </c>
      <c r="L82" s="1" t="s">
        <v>90</v>
      </c>
      <c r="M82" s="1" t="s">
        <v>435</v>
      </c>
      <c r="N82" s="1" t="s">
        <v>38</v>
      </c>
      <c r="O82" s="1" t="s">
        <v>44</v>
      </c>
      <c r="P82" s="4">
        <v>7.38</v>
      </c>
      <c r="Q82" s="4">
        <v>3.93</v>
      </c>
    </row>
    <row r="83" spans="1:17" x14ac:dyDescent="0.25">
      <c r="A83" s="1" t="s">
        <v>207</v>
      </c>
      <c r="B83" s="2">
        <v>45176</v>
      </c>
      <c r="C83" s="3" t="str">
        <f t="shared" si="3"/>
        <v>Sep</v>
      </c>
      <c r="D83" s="3" t="str">
        <f t="shared" si="4"/>
        <v>2023</v>
      </c>
      <c r="E83" s="1" t="s">
        <v>77</v>
      </c>
      <c r="F83" s="1" t="s">
        <v>31</v>
      </c>
      <c r="G83" s="1" t="s">
        <v>17</v>
      </c>
      <c r="H83" s="5">
        <v>21</v>
      </c>
      <c r="I83" s="6">
        <v>62106266</v>
      </c>
      <c r="J83" s="6">
        <v>0</v>
      </c>
      <c r="K83" s="6">
        <f t="shared" si="5"/>
        <v>62106266</v>
      </c>
      <c r="L83" s="1" t="s">
        <v>90</v>
      </c>
      <c r="M83" s="1" t="s">
        <v>435</v>
      </c>
      <c r="N83" s="1" t="s">
        <v>34</v>
      </c>
      <c r="O83" s="1" t="s">
        <v>20</v>
      </c>
      <c r="P83" s="4">
        <v>9.07</v>
      </c>
      <c r="Q83" s="4">
        <v>7.49</v>
      </c>
    </row>
    <row r="84" spans="1:17" x14ac:dyDescent="0.25">
      <c r="A84" s="1" t="s">
        <v>209</v>
      </c>
      <c r="B84" s="2">
        <v>45296</v>
      </c>
      <c r="C84" s="3" t="str">
        <f t="shared" si="3"/>
        <v>Jan</v>
      </c>
      <c r="D84" s="3" t="str">
        <f t="shared" si="4"/>
        <v>2024</v>
      </c>
      <c r="E84" s="1" t="s">
        <v>67</v>
      </c>
      <c r="F84" s="1" t="s">
        <v>68</v>
      </c>
      <c r="G84" s="1" t="s">
        <v>17</v>
      </c>
      <c r="H84" s="5">
        <v>37</v>
      </c>
      <c r="I84" s="6">
        <v>139769413</v>
      </c>
      <c r="J84" s="6">
        <v>0</v>
      </c>
      <c r="K84" s="6">
        <f t="shared" si="5"/>
        <v>139769413</v>
      </c>
      <c r="L84" s="1" t="s">
        <v>18</v>
      </c>
      <c r="M84" s="1" t="s">
        <v>433</v>
      </c>
      <c r="N84" s="1" t="s">
        <v>27</v>
      </c>
      <c r="O84" s="1" t="s">
        <v>44</v>
      </c>
      <c r="P84" s="4">
        <v>11.83</v>
      </c>
      <c r="Q84" s="4">
        <v>13.15</v>
      </c>
    </row>
    <row r="85" spans="1:17" x14ac:dyDescent="0.25">
      <c r="A85" s="1" t="s">
        <v>210</v>
      </c>
      <c r="B85" s="2">
        <v>45365</v>
      </c>
      <c r="C85" s="3" t="str">
        <f t="shared" si="3"/>
        <v>Mar</v>
      </c>
      <c r="D85" s="3" t="str">
        <f t="shared" si="4"/>
        <v>2024</v>
      </c>
      <c r="E85" s="1" t="s">
        <v>23</v>
      </c>
      <c r="F85" s="1" t="s">
        <v>24</v>
      </c>
      <c r="G85" s="1" t="s">
        <v>17</v>
      </c>
      <c r="H85" s="5">
        <v>36</v>
      </c>
      <c r="I85" s="6">
        <v>0</v>
      </c>
      <c r="J85" s="6">
        <v>0</v>
      </c>
      <c r="K85" s="6">
        <f t="shared" si="5"/>
        <v>0</v>
      </c>
      <c r="L85" s="1" t="s">
        <v>26</v>
      </c>
      <c r="M85" s="1" t="s">
        <v>434</v>
      </c>
      <c r="N85" s="1" t="s">
        <v>19</v>
      </c>
      <c r="O85" s="1" t="s">
        <v>44</v>
      </c>
      <c r="P85" s="4">
        <v>5.7</v>
      </c>
      <c r="Q85" s="4">
        <v>5.9</v>
      </c>
    </row>
    <row r="86" spans="1:17" x14ac:dyDescent="0.25">
      <c r="A86" s="1" t="s">
        <v>212</v>
      </c>
      <c r="B86" s="2">
        <v>45187</v>
      </c>
      <c r="C86" s="3" t="str">
        <f t="shared" si="3"/>
        <v>Sep</v>
      </c>
      <c r="D86" s="3" t="str">
        <f t="shared" si="4"/>
        <v>2023</v>
      </c>
      <c r="E86" s="1" t="s">
        <v>30</v>
      </c>
      <c r="F86" s="1" t="s">
        <v>31</v>
      </c>
      <c r="G86" s="1" t="s">
        <v>69</v>
      </c>
      <c r="H86" s="5">
        <v>10</v>
      </c>
      <c r="I86" s="6">
        <v>117913959</v>
      </c>
      <c r="J86" s="6">
        <v>0</v>
      </c>
      <c r="K86" s="6">
        <f t="shared" si="5"/>
        <v>117913959</v>
      </c>
      <c r="L86" s="1" t="s">
        <v>33</v>
      </c>
      <c r="M86" s="1" t="s">
        <v>435</v>
      </c>
      <c r="N86" s="1" t="s">
        <v>38</v>
      </c>
      <c r="O86" s="1" t="s">
        <v>20</v>
      </c>
      <c r="P86" s="4">
        <v>7.73</v>
      </c>
      <c r="Q86" s="4">
        <v>8.5399999999999991</v>
      </c>
    </row>
    <row r="87" spans="1:17" x14ac:dyDescent="0.25">
      <c r="A87" s="1" t="s">
        <v>214</v>
      </c>
      <c r="B87" s="2">
        <v>45280</v>
      </c>
      <c r="C87" s="3" t="str">
        <f t="shared" si="3"/>
        <v>Dec</v>
      </c>
      <c r="D87" s="3" t="str">
        <f t="shared" si="4"/>
        <v>2023</v>
      </c>
      <c r="E87" s="1" t="s">
        <v>87</v>
      </c>
      <c r="F87" s="1" t="s">
        <v>61</v>
      </c>
      <c r="G87" s="1" t="s">
        <v>32</v>
      </c>
      <c r="H87" s="5">
        <v>5</v>
      </c>
      <c r="I87" s="6">
        <v>74367148</v>
      </c>
      <c r="J87" s="6">
        <v>0</v>
      </c>
      <c r="K87" s="6">
        <f t="shared" si="5"/>
        <v>74367148</v>
      </c>
      <c r="L87" s="1" t="s">
        <v>90</v>
      </c>
      <c r="M87" s="1" t="s">
        <v>435</v>
      </c>
      <c r="N87" s="1" t="s">
        <v>38</v>
      </c>
      <c r="O87" s="1" t="s">
        <v>44</v>
      </c>
      <c r="P87" s="4">
        <v>6.52</v>
      </c>
      <c r="Q87" s="4">
        <v>3.37</v>
      </c>
    </row>
    <row r="88" spans="1:17" x14ac:dyDescent="0.25">
      <c r="A88" s="1" t="s">
        <v>216</v>
      </c>
      <c r="B88" s="2">
        <v>45001</v>
      </c>
      <c r="C88" s="3" t="str">
        <f t="shared" si="3"/>
        <v>Mar</v>
      </c>
      <c r="D88" s="3" t="str">
        <f t="shared" si="4"/>
        <v>2023</v>
      </c>
      <c r="E88" s="1" t="s">
        <v>15</v>
      </c>
      <c r="F88" s="1" t="s">
        <v>16</v>
      </c>
      <c r="G88" s="1" t="s">
        <v>25</v>
      </c>
      <c r="H88" s="5">
        <v>8</v>
      </c>
      <c r="I88" s="6">
        <v>0</v>
      </c>
      <c r="J88" s="6">
        <v>0</v>
      </c>
      <c r="K88" s="6">
        <f t="shared" si="5"/>
        <v>0</v>
      </c>
      <c r="L88" s="1" t="s">
        <v>90</v>
      </c>
      <c r="M88" s="1" t="s">
        <v>435</v>
      </c>
      <c r="N88" s="1" t="s">
        <v>27</v>
      </c>
      <c r="O88" s="1" t="s">
        <v>44</v>
      </c>
      <c r="P88" s="4">
        <v>6.21</v>
      </c>
      <c r="Q88" s="4">
        <v>7.07</v>
      </c>
    </row>
    <row r="89" spans="1:17" x14ac:dyDescent="0.25">
      <c r="A89" s="1" t="s">
        <v>218</v>
      </c>
      <c r="B89" s="2">
        <v>45334</v>
      </c>
      <c r="C89" s="3" t="str">
        <f t="shared" si="3"/>
        <v>Feb</v>
      </c>
      <c r="D89" s="3" t="str">
        <f t="shared" si="4"/>
        <v>2024</v>
      </c>
      <c r="E89" s="1" t="s">
        <v>41</v>
      </c>
      <c r="F89" s="1" t="s">
        <v>42</v>
      </c>
      <c r="G89" s="1" t="s">
        <v>25</v>
      </c>
      <c r="H89" s="5">
        <v>25</v>
      </c>
      <c r="I89" s="6">
        <v>67285582</v>
      </c>
      <c r="J89" s="6">
        <v>0</v>
      </c>
      <c r="K89" s="6">
        <f t="shared" si="5"/>
        <v>67285582</v>
      </c>
      <c r="L89" s="1" t="s">
        <v>26</v>
      </c>
      <c r="M89" s="1" t="s">
        <v>434</v>
      </c>
      <c r="N89" s="1" t="s">
        <v>19</v>
      </c>
      <c r="O89" s="1" t="s">
        <v>44</v>
      </c>
      <c r="P89" s="4">
        <v>10.52</v>
      </c>
      <c r="Q89" s="4">
        <v>7.44</v>
      </c>
    </row>
    <row r="90" spans="1:17" x14ac:dyDescent="0.25">
      <c r="A90" s="1" t="s">
        <v>220</v>
      </c>
      <c r="B90" s="2">
        <v>44944</v>
      </c>
      <c r="C90" s="3" t="str">
        <f t="shared" si="3"/>
        <v>Jan</v>
      </c>
      <c r="D90" s="3" t="str">
        <f t="shared" si="4"/>
        <v>2023</v>
      </c>
      <c r="E90" s="1" t="s">
        <v>60</v>
      </c>
      <c r="F90" s="1" t="s">
        <v>61</v>
      </c>
      <c r="G90" s="1" t="s">
        <v>49</v>
      </c>
      <c r="H90" s="5">
        <v>34</v>
      </c>
      <c r="I90" s="6">
        <v>23596044</v>
      </c>
      <c r="J90" s="6">
        <v>35603639</v>
      </c>
      <c r="K90" s="6">
        <f t="shared" si="5"/>
        <v>-12007595</v>
      </c>
      <c r="L90" s="1" t="s">
        <v>90</v>
      </c>
      <c r="M90" s="1" t="s">
        <v>435</v>
      </c>
      <c r="N90" s="1" t="s">
        <v>38</v>
      </c>
      <c r="O90" s="1" t="s">
        <v>44</v>
      </c>
      <c r="P90" s="4">
        <v>7.38</v>
      </c>
      <c r="Q90" s="4">
        <v>3.93</v>
      </c>
    </row>
    <row r="91" spans="1:17" x14ac:dyDescent="0.25">
      <c r="A91" s="1" t="s">
        <v>222</v>
      </c>
      <c r="B91" s="2">
        <v>45245</v>
      </c>
      <c r="C91" s="3" t="str">
        <f t="shared" si="3"/>
        <v>Nov</v>
      </c>
      <c r="D91" s="3" t="str">
        <f t="shared" si="4"/>
        <v>2023</v>
      </c>
      <c r="E91" s="1" t="s">
        <v>64</v>
      </c>
      <c r="F91" s="1" t="s">
        <v>42</v>
      </c>
      <c r="G91" s="1" t="s">
        <v>32</v>
      </c>
      <c r="H91" s="5">
        <v>29</v>
      </c>
      <c r="I91" s="6">
        <v>144267164</v>
      </c>
      <c r="J91" s="6">
        <v>0</v>
      </c>
      <c r="K91" s="6">
        <f t="shared" si="5"/>
        <v>144267164</v>
      </c>
      <c r="L91" s="1" t="s">
        <v>33</v>
      </c>
      <c r="M91" s="1" t="s">
        <v>435</v>
      </c>
      <c r="N91" s="1" t="s">
        <v>38</v>
      </c>
      <c r="O91" s="1" t="s">
        <v>44</v>
      </c>
      <c r="P91" s="4">
        <v>12</v>
      </c>
      <c r="Q91" s="4">
        <v>8.52</v>
      </c>
    </row>
    <row r="92" spans="1:17" x14ac:dyDescent="0.25">
      <c r="A92" s="1" t="s">
        <v>224</v>
      </c>
      <c r="B92" s="2">
        <v>44937</v>
      </c>
      <c r="C92" s="3" t="str">
        <f t="shared" si="3"/>
        <v>Jan</v>
      </c>
      <c r="D92" s="3" t="str">
        <f t="shared" si="4"/>
        <v>2023</v>
      </c>
      <c r="E92" s="1" t="s">
        <v>41</v>
      </c>
      <c r="F92" s="1" t="s">
        <v>42</v>
      </c>
      <c r="G92" s="1" t="s">
        <v>69</v>
      </c>
      <c r="H92" s="5">
        <v>18</v>
      </c>
      <c r="I92" s="6">
        <v>0</v>
      </c>
      <c r="J92" s="6">
        <v>0</v>
      </c>
      <c r="K92" s="6">
        <f t="shared" si="5"/>
        <v>0</v>
      </c>
      <c r="L92" s="1" t="s">
        <v>18</v>
      </c>
      <c r="M92" s="1" t="s">
        <v>433</v>
      </c>
      <c r="N92" s="1" t="s">
        <v>38</v>
      </c>
      <c r="O92" s="1" t="s">
        <v>44</v>
      </c>
      <c r="P92" s="4">
        <v>10.52</v>
      </c>
      <c r="Q92" s="4">
        <v>7.44</v>
      </c>
    </row>
    <row r="93" spans="1:17" x14ac:dyDescent="0.25">
      <c r="A93" s="1" t="s">
        <v>225</v>
      </c>
      <c r="B93" s="2">
        <v>45026</v>
      </c>
      <c r="C93" s="3" t="str">
        <f t="shared" si="3"/>
        <v>Apr</v>
      </c>
      <c r="D93" s="3" t="str">
        <f t="shared" si="4"/>
        <v>2023</v>
      </c>
      <c r="E93" s="1" t="s">
        <v>23</v>
      </c>
      <c r="F93" s="1" t="s">
        <v>24</v>
      </c>
      <c r="G93" s="1" t="s">
        <v>49</v>
      </c>
      <c r="H93" s="5">
        <v>8</v>
      </c>
      <c r="I93" s="6">
        <v>0</v>
      </c>
      <c r="J93" s="6">
        <v>0</v>
      </c>
      <c r="K93" s="6">
        <f t="shared" si="5"/>
        <v>0</v>
      </c>
      <c r="L93" s="1" t="s">
        <v>33</v>
      </c>
      <c r="M93" s="1" t="s">
        <v>435</v>
      </c>
      <c r="N93" s="1" t="s">
        <v>19</v>
      </c>
      <c r="O93" s="1" t="s">
        <v>44</v>
      </c>
      <c r="P93" s="4">
        <v>5.7</v>
      </c>
      <c r="Q93" s="4">
        <v>5.9</v>
      </c>
    </row>
    <row r="94" spans="1:17" x14ac:dyDescent="0.25">
      <c r="A94" s="1" t="s">
        <v>227</v>
      </c>
      <c r="B94" s="2">
        <v>45345</v>
      </c>
      <c r="C94" s="3" t="str">
        <f t="shared" si="3"/>
        <v>Feb</v>
      </c>
      <c r="D94" s="3" t="str">
        <f t="shared" si="4"/>
        <v>2024</v>
      </c>
      <c r="E94" s="1" t="s">
        <v>37</v>
      </c>
      <c r="F94" s="1" t="s">
        <v>24</v>
      </c>
      <c r="G94" s="1" t="s">
        <v>25</v>
      </c>
      <c r="H94" s="5">
        <v>13</v>
      </c>
      <c r="I94" s="6">
        <v>58701544</v>
      </c>
      <c r="J94" s="6">
        <v>0</v>
      </c>
      <c r="K94" s="6">
        <f t="shared" si="5"/>
        <v>58701544</v>
      </c>
      <c r="L94" s="1" t="s">
        <v>33</v>
      </c>
      <c r="M94" s="1" t="s">
        <v>435</v>
      </c>
      <c r="N94" s="1" t="s">
        <v>34</v>
      </c>
      <c r="O94" s="1" t="s">
        <v>44</v>
      </c>
      <c r="P94" s="4">
        <v>4.75</v>
      </c>
      <c r="Q94" s="4">
        <v>7.01</v>
      </c>
    </row>
    <row r="95" spans="1:17" x14ac:dyDescent="0.25">
      <c r="A95" s="1" t="s">
        <v>229</v>
      </c>
      <c r="B95" s="2">
        <v>45074</v>
      </c>
      <c r="C95" s="3" t="str">
        <f t="shared" si="3"/>
        <v>May</v>
      </c>
      <c r="D95" s="3" t="str">
        <f t="shared" si="4"/>
        <v>2023</v>
      </c>
      <c r="E95" s="1" t="s">
        <v>41</v>
      </c>
      <c r="F95" s="1" t="s">
        <v>42</v>
      </c>
      <c r="G95" s="1" t="s">
        <v>17</v>
      </c>
      <c r="H95" s="5">
        <v>8</v>
      </c>
      <c r="I95" s="6">
        <v>21908344</v>
      </c>
      <c r="J95" s="6">
        <v>0</v>
      </c>
      <c r="K95" s="6">
        <f t="shared" si="5"/>
        <v>21908344</v>
      </c>
      <c r="L95" s="1" t="s">
        <v>26</v>
      </c>
      <c r="M95" s="1" t="s">
        <v>434</v>
      </c>
      <c r="N95" s="1" t="s">
        <v>19</v>
      </c>
      <c r="O95" s="1" t="s">
        <v>44</v>
      </c>
      <c r="P95" s="4">
        <v>10.52</v>
      </c>
      <c r="Q95" s="4">
        <v>7.44</v>
      </c>
    </row>
    <row r="96" spans="1:17" x14ac:dyDescent="0.25">
      <c r="A96" s="1" t="s">
        <v>231</v>
      </c>
      <c r="B96" s="2">
        <v>45002</v>
      </c>
      <c r="C96" s="3" t="str">
        <f t="shared" si="3"/>
        <v>Mar</v>
      </c>
      <c r="D96" s="3" t="str">
        <f t="shared" si="4"/>
        <v>2023</v>
      </c>
      <c r="E96" s="1" t="s">
        <v>84</v>
      </c>
      <c r="F96" s="1" t="s">
        <v>42</v>
      </c>
      <c r="G96" s="1" t="s">
        <v>69</v>
      </c>
      <c r="H96" s="5">
        <v>13</v>
      </c>
      <c r="I96" s="6">
        <v>0</v>
      </c>
      <c r="J96" s="6">
        <v>0</v>
      </c>
      <c r="K96" s="6">
        <f t="shared" si="5"/>
        <v>0</v>
      </c>
      <c r="L96" s="1" t="s">
        <v>33</v>
      </c>
      <c r="M96" s="1" t="s">
        <v>435</v>
      </c>
      <c r="N96" s="1" t="s">
        <v>27</v>
      </c>
      <c r="O96" s="1" t="s">
        <v>44</v>
      </c>
      <c r="P96" s="4">
        <v>12.17</v>
      </c>
      <c r="Q96" s="4">
        <v>6.66</v>
      </c>
    </row>
    <row r="97" spans="1:17" x14ac:dyDescent="0.25">
      <c r="A97" s="1" t="s">
        <v>233</v>
      </c>
      <c r="B97" s="2">
        <v>45052</v>
      </c>
      <c r="C97" s="3" t="str">
        <f t="shared" si="3"/>
        <v>May</v>
      </c>
      <c r="D97" s="3" t="str">
        <f t="shared" si="4"/>
        <v>2023</v>
      </c>
      <c r="E97" s="1" t="s">
        <v>64</v>
      </c>
      <c r="F97" s="1" t="s">
        <v>42</v>
      </c>
      <c r="G97" s="1" t="s">
        <v>25</v>
      </c>
      <c r="H97" s="5">
        <v>35</v>
      </c>
      <c r="I97" s="6">
        <v>48810656</v>
      </c>
      <c r="J97" s="6">
        <v>0</v>
      </c>
      <c r="K97" s="6">
        <f t="shared" si="5"/>
        <v>48810656</v>
      </c>
      <c r="L97" s="1" t="s">
        <v>26</v>
      </c>
      <c r="M97" s="1" t="s">
        <v>434</v>
      </c>
      <c r="N97" s="1" t="s">
        <v>27</v>
      </c>
      <c r="O97" s="1" t="s">
        <v>20</v>
      </c>
      <c r="P97" s="4">
        <v>12</v>
      </c>
      <c r="Q97" s="4">
        <v>8.52</v>
      </c>
    </row>
    <row r="98" spans="1:17" x14ac:dyDescent="0.25">
      <c r="A98" s="1" t="s">
        <v>235</v>
      </c>
      <c r="B98" s="2">
        <v>45418</v>
      </c>
      <c r="C98" s="3" t="str">
        <f t="shared" si="3"/>
        <v>May</v>
      </c>
      <c r="D98" s="3" t="str">
        <f t="shared" si="4"/>
        <v>2024</v>
      </c>
      <c r="E98" s="1" t="s">
        <v>52</v>
      </c>
      <c r="F98" s="1" t="s">
        <v>42</v>
      </c>
      <c r="G98" s="1" t="s">
        <v>25</v>
      </c>
      <c r="H98" s="5">
        <v>25</v>
      </c>
      <c r="I98" s="6">
        <v>0</v>
      </c>
      <c r="J98" s="6">
        <v>63345210</v>
      </c>
      <c r="K98" s="6">
        <f t="shared" si="5"/>
        <v>-63345210</v>
      </c>
      <c r="L98" s="1" t="s">
        <v>33</v>
      </c>
      <c r="M98" s="1" t="s">
        <v>435</v>
      </c>
      <c r="N98" s="1" t="s">
        <v>34</v>
      </c>
      <c r="O98" s="1" t="s">
        <v>20</v>
      </c>
      <c r="P98" s="4">
        <v>12.99</v>
      </c>
      <c r="Q98" s="4">
        <v>7.6</v>
      </c>
    </row>
    <row r="99" spans="1:17" x14ac:dyDescent="0.25">
      <c r="A99" s="1" t="s">
        <v>237</v>
      </c>
      <c r="B99" s="2">
        <v>45284</v>
      </c>
      <c r="C99" s="3" t="str">
        <f t="shared" si="3"/>
        <v>Dec</v>
      </c>
      <c r="D99" s="3" t="str">
        <f t="shared" si="4"/>
        <v>2023</v>
      </c>
      <c r="E99" s="1" t="s">
        <v>67</v>
      </c>
      <c r="F99" s="1" t="s">
        <v>68</v>
      </c>
      <c r="G99" s="1" t="s">
        <v>43</v>
      </c>
      <c r="H99" s="5">
        <v>20</v>
      </c>
      <c r="I99" s="6">
        <v>120865066</v>
      </c>
      <c r="J99" s="6">
        <v>0</v>
      </c>
      <c r="K99" s="6">
        <f t="shared" si="5"/>
        <v>120865066</v>
      </c>
      <c r="L99" s="1" t="s">
        <v>18</v>
      </c>
      <c r="M99" s="1" t="s">
        <v>433</v>
      </c>
      <c r="N99" s="1" t="s">
        <v>38</v>
      </c>
      <c r="O99" s="1" t="s">
        <v>44</v>
      </c>
      <c r="P99" s="4">
        <v>11.83</v>
      </c>
      <c r="Q99" s="4">
        <v>13.15</v>
      </c>
    </row>
    <row r="100" spans="1:17" x14ac:dyDescent="0.25">
      <c r="A100" s="1" t="s">
        <v>239</v>
      </c>
      <c r="B100" s="2">
        <v>45185</v>
      </c>
      <c r="C100" s="3" t="str">
        <f t="shared" si="3"/>
        <v>Sep</v>
      </c>
      <c r="D100" s="3" t="str">
        <f t="shared" si="4"/>
        <v>2023</v>
      </c>
      <c r="E100" s="1" t="s">
        <v>77</v>
      </c>
      <c r="F100" s="1" t="s">
        <v>31</v>
      </c>
      <c r="G100" s="1" t="s">
        <v>17</v>
      </c>
      <c r="H100" s="5">
        <v>15</v>
      </c>
      <c r="I100" s="6">
        <v>0</v>
      </c>
      <c r="J100" s="6">
        <v>0</v>
      </c>
      <c r="K100" s="6">
        <f t="shared" si="5"/>
        <v>0</v>
      </c>
      <c r="L100" s="1" t="s">
        <v>26</v>
      </c>
      <c r="M100" s="1" t="s">
        <v>434</v>
      </c>
      <c r="N100" s="1" t="s">
        <v>34</v>
      </c>
      <c r="O100" s="1" t="s">
        <v>44</v>
      </c>
      <c r="P100" s="4">
        <v>9.07</v>
      </c>
      <c r="Q100" s="4">
        <v>7.49</v>
      </c>
    </row>
    <row r="101" spans="1:17" x14ac:dyDescent="0.25">
      <c r="A101" s="1" t="s">
        <v>241</v>
      </c>
      <c r="B101" s="2">
        <v>45107</v>
      </c>
      <c r="C101" s="3" t="str">
        <f t="shared" si="3"/>
        <v>Jun</v>
      </c>
      <c r="D101" s="3" t="str">
        <f t="shared" si="4"/>
        <v>2023</v>
      </c>
      <c r="E101" s="1" t="s">
        <v>41</v>
      </c>
      <c r="F101" s="1" t="s">
        <v>42</v>
      </c>
      <c r="G101" s="1" t="s">
        <v>25</v>
      </c>
      <c r="H101" s="5">
        <v>22</v>
      </c>
      <c r="I101" s="6">
        <v>62432721</v>
      </c>
      <c r="J101" s="6">
        <v>0</v>
      </c>
      <c r="K101" s="6">
        <f t="shared" si="5"/>
        <v>62432721</v>
      </c>
      <c r="L101" s="1" t="s">
        <v>90</v>
      </c>
      <c r="M101" s="1" t="s">
        <v>435</v>
      </c>
      <c r="N101" s="1" t="s">
        <v>38</v>
      </c>
      <c r="O101" s="1" t="s">
        <v>44</v>
      </c>
      <c r="P101" s="4">
        <v>10.52</v>
      </c>
      <c r="Q101" s="4">
        <v>7.44</v>
      </c>
    </row>
    <row r="102" spans="1:17" x14ac:dyDescent="0.25">
      <c r="A102" s="1" t="s">
        <v>243</v>
      </c>
      <c r="B102" s="2">
        <v>45097</v>
      </c>
      <c r="C102" s="3" t="str">
        <f t="shared" si="3"/>
        <v>Jun</v>
      </c>
      <c r="D102" s="3" t="str">
        <f t="shared" si="4"/>
        <v>2023</v>
      </c>
      <c r="E102" s="1" t="s">
        <v>77</v>
      </c>
      <c r="F102" s="1" t="s">
        <v>31</v>
      </c>
      <c r="G102" s="1" t="s">
        <v>49</v>
      </c>
      <c r="H102" s="5">
        <v>29</v>
      </c>
      <c r="I102" s="6">
        <v>0</v>
      </c>
      <c r="J102" s="6">
        <v>0</v>
      </c>
      <c r="K102" s="6">
        <f t="shared" si="5"/>
        <v>0</v>
      </c>
      <c r="L102" s="1" t="s">
        <v>26</v>
      </c>
      <c r="M102" s="1" t="s">
        <v>434</v>
      </c>
      <c r="N102" s="1" t="s">
        <v>38</v>
      </c>
      <c r="O102" s="1" t="s">
        <v>44</v>
      </c>
      <c r="P102" s="4">
        <v>9.07</v>
      </c>
      <c r="Q102" s="4">
        <v>7.49</v>
      </c>
    </row>
    <row r="103" spans="1:17" x14ac:dyDescent="0.25">
      <c r="A103" s="1" t="s">
        <v>245</v>
      </c>
      <c r="B103" s="2">
        <v>45208</v>
      </c>
      <c r="C103" s="3" t="str">
        <f t="shared" si="3"/>
        <v>Oct</v>
      </c>
      <c r="D103" s="3" t="str">
        <f t="shared" si="4"/>
        <v>2023</v>
      </c>
      <c r="E103" s="1" t="s">
        <v>67</v>
      </c>
      <c r="F103" s="1" t="s">
        <v>68</v>
      </c>
      <c r="G103" s="1" t="s">
        <v>43</v>
      </c>
      <c r="H103" s="5">
        <v>37</v>
      </c>
      <c r="I103" s="6">
        <v>0</v>
      </c>
      <c r="J103" s="6">
        <v>0</v>
      </c>
      <c r="K103" s="6">
        <f t="shared" si="5"/>
        <v>0</v>
      </c>
      <c r="L103" s="1" t="s">
        <v>18</v>
      </c>
      <c r="M103" s="1" t="s">
        <v>433</v>
      </c>
      <c r="N103" s="1" t="s">
        <v>27</v>
      </c>
      <c r="O103" s="1" t="s">
        <v>20</v>
      </c>
      <c r="P103" s="4">
        <v>11.83</v>
      </c>
      <c r="Q103" s="4">
        <v>13.15</v>
      </c>
    </row>
    <row r="104" spans="1:17" x14ac:dyDescent="0.25">
      <c r="A104" s="1" t="s">
        <v>247</v>
      </c>
      <c r="B104" s="2">
        <v>45153</v>
      </c>
      <c r="C104" s="3" t="str">
        <f t="shared" si="3"/>
        <v>Aug</v>
      </c>
      <c r="D104" s="3" t="str">
        <f t="shared" si="4"/>
        <v>2023</v>
      </c>
      <c r="E104" s="1" t="s">
        <v>77</v>
      </c>
      <c r="F104" s="1" t="s">
        <v>31</v>
      </c>
      <c r="G104" s="1" t="s">
        <v>57</v>
      </c>
      <c r="H104" s="5">
        <v>6</v>
      </c>
      <c r="I104" s="6">
        <v>134018162</v>
      </c>
      <c r="J104" s="6">
        <v>26197061</v>
      </c>
      <c r="K104" s="6">
        <f t="shared" si="5"/>
        <v>107821101</v>
      </c>
      <c r="L104" s="1" t="s">
        <v>33</v>
      </c>
      <c r="M104" s="1" t="s">
        <v>435</v>
      </c>
      <c r="N104" s="1" t="s">
        <v>34</v>
      </c>
      <c r="O104" s="1" t="s">
        <v>44</v>
      </c>
      <c r="P104" s="4">
        <v>9.07</v>
      </c>
      <c r="Q104" s="4">
        <v>7.49</v>
      </c>
    </row>
    <row r="105" spans="1:17" x14ac:dyDescent="0.25">
      <c r="A105" s="1" t="s">
        <v>249</v>
      </c>
      <c r="B105" s="2">
        <v>45337</v>
      </c>
      <c r="C105" s="3" t="str">
        <f t="shared" si="3"/>
        <v>Feb</v>
      </c>
      <c r="D105" s="3" t="str">
        <f t="shared" si="4"/>
        <v>2024</v>
      </c>
      <c r="E105" s="1" t="s">
        <v>30</v>
      </c>
      <c r="F105" s="1" t="s">
        <v>31</v>
      </c>
      <c r="G105" s="1" t="s">
        <v>25</v>
      </c>
      <c r="H105" s="5">
        <v>18</v>
      </c>
      <c r="I105" s="6">
        <v>0</v>
      </c>
      <c r="J105" s="6">
        <v>23103392</v>
      </c>
      <c r="K105" s="6">
        <f t="shared" si="5"/>
        <v>-23103392</v>
      </c>
      <c r="L105" s="1" t="s">
        <v>18</v>
      </c>
      <c r="M105" s="1" t="s">
        <v>433</v>
      </c>
      <c r="N105" s="1" t="s">
        <v>34</v>
      </c>
      <c r="O105" s="1" t="s">
        <v>20</v>
      </c>
      <c r="P105" s="4">
        <v>7.73</v>
      </c>
      <c r="Q105" s="4">
        <v>8.5399999999999991</v>
      </c>
    </row>
    <row r="106" spans="1:17" x14ac:dyDescent="0.25">
      <c r="A106" s="1" t="s">
        <v>251</v>
      </c>
      <c r="B106" s="2">
        <v>44971</v>
      </c>
      <c r="C106" s="3" t="str">
        <f t="shared" si="3"/>
        <v>Feb</v>
      </c>
      <c r="D106" s="3" t="str">
        <f t="shared" si="4"/>
        <v>2023</v>
      </c>
      <c r="E106" s="1" t="s">
        <v>15</v>
      </c>
      <c r="F106" s="1" t="s">
        <v>16</v>
      </c>
      <c r="G106" s="1" t="s">
        <v>25</v>
      </c>
      <c r="H106" s="5">
        <v>29</v>
      </c>
      <c r="I106" s="6">
        <v>0</v>
      </c>
      <c r="J106" s="6">
        <v>11634434</v>
      </c>
      <c r="K106" s="6">
        <f t="shared" si="5"/>
        <v>-11634434</v>
      </c>
      <c r="L106" s="1" t="s">
        <v>26</v>
      </c>
      <c r="M106" s="1" t="s">
        <v>434</v>
      </c>
      <c r="N106" s="1" t="s">
        <v>34</v>
      </c>
      <c r="O106" s="1" t="s">
        <v>44</v>
      </c>
      <c r="P106" s="4">
        <v>6.21</v>
      </c>
      <c r="Q106" s="4">
        <v>7.07</v>
      </c>
    </row>
    <row r="107" spans="1:17" x14ac:dyDescent="0.25">
      <c r="A107" s="1" t="s">
        <v>253</v>
      </c>
      <c r="B107" s="2">
        <v>45293</v>
      </c>
      <c r="C107" s="3" t="str">
        <f t="shared" si="3"/>
        <v>Jan</v>
      </c>
      <c r="D107" s="3" t="str">
        <f t="shared" si="4"/>
        <v>2024</v>
      </c>
      <c r="E107" s="1" t="s">
        <v>41</v>
      </c>
      <c r="F107" s="1" t="s">
        <v>42</v>
      </c>
      <c r="G107" s="1" t="s">
        <v>57</v>
      </c>
      <c r="H107" s="5">
        <v>17</v>
      </c>
      <c r="I107" s="6">
        <v>110020654</v>
      </c>
      <c r="J107" s="6">
        <v>0</v>
      </c>
      <c r="K107" s="6">
        <f t="shared" si="5"/>
        <v>110020654</v>
      </c>
      <c r="L107" s="1" t="s">
        <v>18</v>
      </c>
      <c r="M107" s="1" t="s">
        <v>433</v>
      </c>
      <c r="N107" s="1" t="s">
        <v>19</v>
      </c>
      <c r="O107" s="1" t="s">
        <v>44</v>
      </c>
      <c r="P107" s="4">
        <v>10.52</v>
      </c>
      <c r="Q107" s="4">
        <v>7.44</v>
      </c>
    </row>
    <row r="108" spans="1:17" x14ac:dyDescent="0.25">
      <c r="A108" s="1" t="s">
        <v>255</v>
      </c>
      <c r="B108" s="2">
        <v>44975</v>
      </c>
      <c r="C108" s="3" t="str">
        <f t="shared" si="3"/>
        <v>Feb</v>
      </c>
      <c r="D108" s="3" t="str">
        <f t="shared" si="4"/>
        <v>2023</v>
      </c>
      <c r="E108" s="1" t="s">
        <v>52</v>
      </c>
      <c r="F108" s="1" t="s">
        <v>42</v>
      </c>
      <c r="G108" s="1" t="s">
        <v>17</v>
      </c>
      <c r="H108" s="5">
        <v>1</v>
      </c>
      <c r="I108" s="6">
        <v>145428854</v>
      </c>
      <c r="J108" s="6">
        <v>77032177</v>
      </c>
      <c r="K108" s="6">
        <f t="shared" si="5"/>
        <v>68396677</v>
      </c>
      <c r="L108" s="1" t="s">
        <v>33</v>
      </c>
      <c r="M108" s="1" t="s">
        <v>435</v>
      </c>
      <c r="N108" s="1" t="s">
        <v>34</v>
      </c>
      <c r="O108" s="1" t="s">
        <v>44</v>
      </c>
      <c r="P108" s="4">
        <v>12.99</v>
      </c>
      <c r="Q108" s="4">
        <v>7.6</v>
      </c>
    </row>
    <row r="109" spans="1:17" x14ac:dyDescent="0.25">
      <c r="A109" s="1" t="s">
        <v>257</v>
      </c>
      <c r="B109" s="2">
        <v>44975</v>
      </c>
      <c r="C109" s="3" t="str">
        <f t="shared" si="3"/>
        <v>Feb</v>
      </c>
      <c r="D109" s="3" t="str">
        <f t="shared" si="4"/>
        <v>2023</v>
      </c>
      <c r="E109" s="1" t="s">
        <v>60</v>
      </c>
      <c r="F109" s="1" t="s">
        <v>61</v>
      </c>
      <c r="G109" s="1" t="s">
        <v>57</v>
      </c>
      <c r="H109" s="5">
        <v>15</v>
      </c>
      <c r="I109" s="6">
        <v>8433053</v>
      </c>
      <c r="J109" s="6">
        <v>0</v>
      </c>
      <c r="K109" s="6">
        <f t="shared" si="5"/>
        <v>8433053</v>
      </c>
      <c r="L109" s="1" t="s">
        <v>33</v>
      </c>
      <c r="M109" s="1" t="s">
        <v>435</v>
      </c>
      <c r="N109" s="1" t="s">
        <v>19</v>
      </c>
      <c r="O109" s="1" t="s">
        <v>44</v>
      </c>
      <c r="P109" s="4">
        <v>7.38</v>
      </c>
      <c r="Q109" s="4">
        <v>3.93</v>
      </c>
    </row>
    <row r="110" spans="1:17" x14ac:dyDescent="0.25">
      <c r="A110" s="1" t="s">
        <v>258</v>
      </c>
      <c r="B110" s="2">
        <v>45018</v>
      </c>
      <c r="C110" s="3" t="str">
        <f t="shared" si="3"/>
        <v>Apr</v>
      </c>
      <c r="D110" s="3" t="str">
        <f t="shared" si="4"/>
        <v>2023</v>
      </c>
      <c r="E110" s="1" t="s">
        <v>41</v>
      </c>
      <c r="F110" s="1" t="s">
        <v>42</v>
      </c>
      <c r="G110" s="1" t="s">
        <v>49</v>
      </c>
      <c r="H110" s="5">
        <v>28</v>
      </c>
      <c r="I110" s="6">
        <v>63792800</v>
      </c>
      <c r="J110" s="6">
        <v>0</v>
      </c>
      <c r="K110" s="6">
        <f t="shared" si="5"/>
        <v>63792800</v>
      </c>
      <c r="L110" s="1" t="s">
        <v>90</v>
      </c>
      <c r="M110" s="1" t="s">
        <v>435</v>
      </c>
      <c r="N110" s="1" t="s">
        <v>27</v>
      </c>
      <c r="O110" s="1" t="s">
        <v>44</v>
      </c>
      <c r="P110" s="4">
        <v>10.52</v>
      </c>
      <c r="Q110" s="4">
        <v>7.44</v>
      </c>
    </row>
    <row r="111" spans="1:17" x14ac:dyDescent="0.25">
      <c r="A111" s="1" t="s">
        <v>260</v>
      </c>
      <c r="B111" s="2">
        <v>45259</v>
      </c>
      <c r="C111" s="3" t="str">
        <f t="shared" si="3"/>
        <v>Nov</v>
      </c>
      <c r="D111" s="3" t="str">
        <f t="shared" si="4"/>
        <v>2023</v>
      </c>
      <c r="E111" s="1" t="s">
        <v>64</v>
      </c>
      <c r="F111" s="1" t="s">
        <v>42</v>
      </c>
      <c r="G111" s="1" t="s">
        <v>57</v>
      </c>
      <c r="H111" s="5">
        <v>21</v>
      </c>
      <c r="I111" s="6">
        <v>0</v>
      </c>
      <c r="J111" s="6">
        <v>0</v>
      </c>
      <c r="K111" s="6">
        <f t="shared" si="5"/>
        <v>0</v>
      </c>
      <c r="L111" s="1" t="s">
        <v>26</v>
      </c>
      <c r="M111" s="1" t="s">
        <v>434</v>
      </c>
      <c r="N111" s="1" t="s">
        <v>34</v>
      </c>
      <c r="O111" s="1" t="s">
        <v>44</v>
      </c>
      <c r="P111" s="4">
        <v>12</v>
      </c>
      <c r="Q111" s="4">
        <v>8.52</v>
      </c>
    </row>
    <row r="112" spans="1:17" x14ac:dyDescent="0.25">
      <c r="A112" s="1" t="s">
        <v>262</v>
      </c>
      <c r="B112" s="2">
        <v>44956</v>
      </c>
      <c r="C112" s="3" t="str">
        <f t="shared" si="3"/>
        <v>Jan</v>
      </c>
      <c r="D112" s="3" t="str">
        <f t="shared" si="4"/>
        <v>2023</v>
      </c>
      <c r="E112" s="1" t="s">
        <v>77</v>
      </c>
      <c r="F112" s="1" t="s">
        <v>31</v>
      </c>
      <c r="G112" s="1" t="s">
        <v>32</v>
      </c>
      <c r="H112" s="5">
        <v>36</v>
      </c>
      <c r="I112" s="6">
        <v>0</v>
      </c>
      <c r="J112" s="6">
        <v>0</v>
      </c>
      <c r="K112" s="6">
        <f t="shared" si="5"/>
        <v>0</v>
      </c>
      <c r="L112" s="1" t="s">
        <v>18</v>
      </c>
      <c r="M112" s="1" t="s">
        <v>433</v>
      </c>
      <c r="N112" s="1" t="s">
        <v>27</v>
      </c>
      <c r="O112" s="1" t="s">
        <v>20</v>
      </c>
      <c r="P112" s="4">
        <v>9.07</v>
      </c>
      <c r="Q112" s="4">
        <v>7.49</v>
      </c>
    </row>
    <row r="113" spans="1:17" x14ac:dyDescent="0.25">
      <c r="A113" s="1" t="s">
        <v>264</v>
      </c>
      <c r="B113" s="2">
        <v>45015</v>
      </c>
      <c r="C113" s="3" t="str">
        <f t="shared" si="3"/>
        <v>Mar</v>
      </c>
      <c r="D113" s="3" t="str">
        <f t="shared" si="4"/>
        <v>2023</v>
      </c>
      <c r="E113" s="1" t="s">
        <v>30</v>
      </c>
      <c r="F113" s="1" t="s">
        <v>31</v>
      </c>
      <c r="G113" s="1" t="s">
        <v>32</v>
      </c>
      <c r="H113" s="5">
        <v>39</v>
      </c>
      <c r="I113" s="6">
        <v>0</v>
      </c>
      <c r="J113" s="6">
        <v>43570500</v>
      </c>
      <c r="K113" s="6">
        <f t="shared" si="5"/>
        <v>-43570500</v>
      </c>
      <c r="L113" s="1" t="s">
        <v>18</v>
      </c>
      <c r="M113" s="1" t="s">
        <v>433</v>
      </c>
      <c r="N113" s="1" t="s">
        <v>34</v>
      </c>
      <c r="O113" s="1" t="s">
        <v>44</v>
      </c>
      <c r="P113" s="4">
        <v>7.73</v>
      </c>
      <c r="Q113" s="4">
        <v>8.5399999999999991</v>
      </c>
    </row>
    <row r="114" spans="1:17" x14ac:dyDescent="0.25">
      <c r="A114" s="1" t="s">
        <v>265</v>
      </c>
      <c r="B114" s="2">
        <v>45261</v>
      </c>
      <c r="C114" s="3" t="str">
        <f t="shared" si="3"/>
        <v>Dec</v>
      </c>
      <c r="D114" s="3" t="str">
        <f t="shared" si="4"/>
        <v>2023</v>
      </c>
      <c r="E114" s="1" t="s">
        <v>77</v>
      </c>
      <c r="F114" s="1" t="s">
        <v>31</v>
      </c>
      <c r="G114" s="1" t="s">
        <v>17</v>
      </c>
      <c r="H114" s="5">
        <v>10</v>
      </c>
      <c r="I114" s="6">
        <v>73972960</v>
      </c>
      <c r="J114" s="6">
        <v>98681187</v>
      </c>
      <c r="K114" s="6">
        <f t="shared" si="5"/>
        <v>-24708227</v>
      </c>
      <c r="L114" s="1" t="s">
        <v>18</v>
      </c>
      <c r="M114" s="1" t="s">
        <v>433</v>
      </c>
      <c r="N114" s="1" t="s">
        <v>27</v>
      </c>
      <c r="O114" s="1" t="s">
        <v>44</v>
      </c>
      <c r="P114" s="4">
        <v>9.07</v>
      </c>
      <c r="Q114" s="4">
        <v>7.49</v>
      </c>
    </row>
    <row r="115" spans="1:17" x14ac:dyDescent="0.25">
      <c r="A115" s="1" t="s">
        <v>267</v>
      </c>
      <c r="B115" s="2">
        <v>45369</v>
      </c>
      <c r="C115" s="3" t="str">
        <f t="shared" si="3"/>
        <v>Mar</v>
      </c>
      <c r="D115" s="3" t="str">
        <f t="shared" si="4"/>
        <v>2024</v>
      </c>
      <c r="E115" s="1" t="s">
        <v>30</v>
      </c>
      <c r="F115" s="1" t="s">
        <v>31</v>
      </c>
      <c r="G115" s="1" t="s">
        <v>69</v>
      </c>
      <c r="H115" s="5">
        <v>38</v>
      </c>
      <c r="I115" s="6">
        <v>0</v>
      </c>
      <c r="J115" s="6">
        <v>0</v>
      </c>
      <c r="K115" s="6">
        <f t="shared" si="5"/>
        <v>0</v>
      </c>
      <c r="L115" s="1" t="s">
        <v>26</v>
      </c>
      <c r="M115" s="1" t="s">
        <v>434</v>
      </c>
      <c r="N115" s="1" t="s">
        <v>19</v>
      </c>
      <c r="O115" s="1" t="s">
        <v>44</v>
      </c>
      <c r="P115" s="4">
        <v>7.73</v>
      </c>
      <c r="Q115" s="4">
        <v>8.5399999999999991</v>
      </c>
    </row>
    <row r="116" spans="1:17" x14ac:dyDescent="0.25">
      <c r="A116" s="1" t="s">
        <v>269</v>
      </c>
      <c r="B116" s="2">
        <v>45051</v>
      </c>
      <c r="C116" s="3" t="str">
        <f t="shared" si="3"/>
        <v>May</v>
      </c>
      <c r="D116" s="3" t="str">
        <f t="shared" si="4"/>
        <v>2023</v>
      </c>
      <c r="E116" s="1" t="s">
        <v>41</v>
      </c>
      <c r="F116" s="1" t="s">
        <v>42</v>
      </c>
      <c r="G116" s="1" t="s">
        <v>49</v>
      </c>
      <c r="H116" s="5">
        <v>33</v>
      </c>
      <c r="I116" s="6">
        <v>0</v>
      </c>
      <c r="J116" s="6">
        <v>0</v>
      </c>
      <c r="K116" s="6">
        <f t="shared" si="5"/>
        <v>0</v>
      </c>
      <c r="L116" s="1" t="s">
        <v>33</v>
      </c>
      <c r="M116" s="1" t="s">
        <v>435</v>
      </c>
      <c r="N116" s="1" t="s">
        <v>34</v>
      </c>
      <c r="O116" s="1" t="s">
        <v>44</v>
      </c>
      <c r="P116" s="4">
        <v>10.52</v>
      </c>
      <c r="Q116" s="4">
        <v>7.44</v>
      </c>
    </row>
    <row r="117" spans="1:17" x14ac:dyDescent="0.25">
      <c r="A117" s="1" t="s">
        <v>271</v>
      </c>
      <c r="B117" s="2">
        <v>44957</v>
      </c>
      <c r="C117" s="3" t="str">
        <f t="shared" si="3"/>
        <v>Jan</v>
      </c>
      <c r="D117" s="3" t="str">
        <f t="shared" si="4"/>
        <v>2023</v>
      </c>
      <c r="E117" s="1" t="s">
        <v>41</v>
      </c>
      <c r="F117" s="1" t="s">
        <v>42</v>
      </c>
      <c r="G117" s="1" t="s">
        <v>69</v>
      </c>
      <c r="H117" s="5">
        <v>20</v>
      </c>
      <c r="I117" s="6">
        <v>0</v>
      </c>
      <c r="J117" s="6">
        <v>0</v>
      </c>
      <c r="K117" s="6">
        <f t="shared" si="5"/>
        <v>0</v>
      </c>
      <c r="L117" s="1" t="s">
        <v>18</v>
      </c>
      <c r="M117" s="1" t="s">
        <v>433</v>
      </c>
      <c r="N117" s="1" t="s">
        <v>34</v>
      </c>
      <c r="O117" s="1" t="s">
        <v>44</v>
      </c>
      <c r="P117" s="4">
        <v>10.52</v>
      </c>
      <c r="Q117" s="4">
        <v>7.44</v>
      </c>
    </row>
    <row r="118" spans="1:17" x14ac:dyDescent="0.25">
      <c r="A118" s="1" t="s">
        <v>273</v>
      </c>
      <c r="B118" s="2">
        <v>45217</v>
      </c>
      <c r="C118" s="3" t="str">
        <f t="shared" si="3"/>
        <v>Oct</v>
      </c>
      <c r="D118" s="3" t="str">
        <f t="shared" si="4"/>
        <v>2023</v>
      </c>
      <c r="E118" s="1" t="s">
        <v>72</v>
      </c>
      <c r="F118" s="1" t="s">
        <v>61</v>
      </c>
      <c r="G118" s="1" t="s">
        <v>25</v>
      </c>
      <c r="H118" s="5">
        <v>32</v>
      </c>
      <c r="I118" s="6">
        <v>0</v>
      </c>
      <c r="J118" s="6">
        <v>0</v>
      </c>
      <c r="K118" s="6">
        <f t="shared" si="5"/>
        <v>0</v>
      </c>
      <c r="L118" s="1" t="s">
        <v>90</v>
      </c>
      <c r="M118" s="1" t="s">
        <v>435</v>
      </c>
      <c r="N118" s="1" t="s">
        <v>34</v>
      </c>
      <c r="O118" s="1" t="s">
        <v>20</v>
      </c>
      <c r="P118" s="4">
        <v>6.9</v>
      </c>
      <c r="Q118" s="4">
        <v>3.3</v>
      </c>
    </row>
    <row r="119" spans="1:17" x14ac:dyDescent="0.25">
      <c r="A119" s="1" t="s">
        <v>275</v>
      </c>
      <c r="B119" s="2">
        <v>45131</v>
      </c>
      <c r="C119" s="3" t="str">
        <f t="shared" si="3"/>
        <v>Jul</v>
      </c>
      <c r="D119" s="3" t="str">
        <f t="shared" si="4"/>
        <v>2023</v>
      </c>
      <c r="E119" s="1" t="s">
        <v>41</v>
      </c>
      <c r="F119" s="1" t="s">
        <v>42</v>
      </c>
      <c r="G119" s="1" t="s">
        <v>17</v>
      </c>
      <c r="H119" s="5">
        <v>33</v>
      </c>
      <c r="I119" s="6">
        <v>20289536</v>
      </c>
      <c r="J119" s="6">
        <v>0</v>
      </c>
      <c r="K119" s="6">
        <f t="shared" si="5"/>
        <v>20289536</v>
      </c>
      <c r="L119" s="1" t="s">
        <v>26</v>
      </c>
      <c r="M119" s="1" t="s">
        <v>434</v>
      </c>
      <c r="N119" s="1" t="s">
        <v>27</v>
      </c>
      <c r="O119" s="1" t="s">
        <v>20</v>
      </c>
      <c r="P119" s="4">
        <v>10.52</v>
      </c>
      <c r="Q119" s="4">
        <v>7.44</v>
      </c>
    </row>
    <row r="120" spans="1:17" x14ac:dyDescent="0.25">
      <c r="A120" s="1" t="s">
        <v>277</v>
      </c>
      <c r="B120" s="2">
        <v>45051</v>
      </c>
      <c r="C120" s="3" t="str">
        <f t="shared" si="3"/>
        <v>May</v>
      </c>
      <c r="D120" s="3" t="str">
        <f t="shared" si="4"/>
        <v>2023</v>
      </c>
      <c r="E120" s="1" t="s">
        <v>60</v>
      </c>
      <c r="F120" s="1" t="s">
        <v>61</v>
      </c>
      <c r="G120" s="1" t="s">
        <v>49</v>
      </c>
      <c r="H120" s="5">
        <v>9</v>
      </c>
      <c r="I120" s="6">
        <v>45989170</v>
      </c>
      <c r="J120" s="6">
        <v>0</v>
      </c>
      <c r="K120" s="6">
        <f t="shared" si="5"/>
        <v>45989170</v>
      </c>
      <c r="L120" s="1" t="s">
        <v>18</v>
      </c>
      <c r="M120" s="1" t="s">
        <v>433</v>
      </c>
      <c r="N120" s="1" t="s">
        <v>27</v>
      </c>
      <c r="O120" s="1" t="s">
        <v>44</v>
      </c>
      <c r="P120" s="4">
        <v>7.38</v>
      </c>
      <c r="Q120" s="4">
        <v>3.93</v>
      </c>
    </row>
    <row r="121" spans="1:17" x14ac:dyDescent="0.25">
      <c r="A121" s="1" t="s">
        <v>278</v>
      </c>
      <c r="B121" s="2">
        <v>45045</v>
      </c>
      <c r="C121" s="3" t="str">
        <f t="shared" si="3"/>
        <v>Apr</v>
      </c>
      <c r="D121" s="3" t="str">
        <f t="shared" si="4"/>
        <v>2023</v>
      </c>
      <c r="E121" s="1" t="s">
        <v>15</v>
      </c>
      <c r="F121" s="1" t="s">
        <v>16</v>
      </c>
      <c r="G121" s="1" t="s">
        <v>57</v>
      </c>
      <c r="H121" s="5">
        <v>39</v>
      </c>
      <c r="I121" s="6">
        <v>0</v>
      </c>
      <c r="J121" s="6">
        <v>0</v>
      </c>
      <c r="K121" s="6">
        <f t="shared" si="5"/>
        <v>0</v>
      </c>
      <c r="L121" s="1" t="s">
        <v>26</v>
      </c>
      <c r="M121" s="1" t="s">
        <v>434</v>
      </c>
      <c r="N121" s="1" t="s">
        <v>34</v>
      </c>
      <c r="O121" s="1" t="s">
        <v>44</v>
      </c>
      <c r="P121" s="4">
        <v>6.21</v>
      </c>
      <c r="Q121" s="4">
        <v>7.07</v>
      </c>
    </row>
    <row r="122" spans="1:17" x14ac:dyDescent="0.25">
      <c r="A122" s="1" t="s">
        <v>280</v>
      </c>
      <c r="B122" s="2">
        <v>44944</v>
      </c>
      <c r="C122" s="3" t="str">
        <f t="shared" si="3"/>
        <v>Jan</v>
      </c>
      <c r="D122" s="3" t="str">
        <f t="shared" si="4"/>
        <v>2023</v>
      </c>
      <c r="E122" s="1" t="s">
        <v>41</v>
      </c>
      <c r="F122" s="1" t="s">
        <v>42</v>
      </c>
      <c r="G122" s="1" t="s">
        <v>25</v>
      </c>
      <c r="H122" s="5">
        <v>19</v>
      </c>
      <c r="I122" s="6">
        <v>32858196</v>
      </c>
      <c r="J122" s="6">
        <v>0</v>
      </c>
      <c r="K122" s="6">
        <f t="shared" si="5"/>
        <v>32858196</v>
      </c>
      <c r="L122" s="1" t="s">
        <v>90</v>
      </c>
      <c r="M122" s="1" t="s">
        <v>435</v>
      </c>
      <c r="N122" s="1" t="s">
        <v>34</v>
      </c>
      <c r="O122" s="1" t="s">
        <v>20</v>
      </c>
      <c r="P122" s="4">
        <v>10.52</v>
      </c>
      <c r="Q122" s="4">
        <v>7.44</v>
      </c>
    </row>
    <row r="123" spans="1:17" x14ac:dyDescent="0.25">
      <c r="A123" s="1" t="s">
        <v>281</v>
      </c>
      <c r="B123" s="2">
        <v>45189</v>
      </c>
      <c r="C123" s="3" t="str">
        <f t="shared" si="3"/>
        <v>Sep</v>
      </c>
      <c r="D123" s="3" t="str">
        <f t="shared" si="4"/>
        <v>2023</v>
      </c>
      <c r="E123" s="1" t="s">
        <v>30</v>
      </c>
      <c r="F123" s="1" t="s">
        <v>31</v>
      </c>
      <c r="G123" s="1" t="s">
        <v>32</v>
      </c>
      <c r="H123" s="5">
        <v>35</v>
      </c>
      <c r="I123" s="6">
        <v>100723312</v>
      </c>
      <c r="J123" s="6">
        <v>24145666</v>
      </c>
      <c r="K123" s="6">
        <f t="shared" si="5"/>
        <v>76577646</v>
      </c>
      <c r="L123" s="1" t="s">
        <v>33</v>
      </c>
      <c r="M123" s="1" t="s">
        <v>435</v>
      </c>
      <c r="N123" s="1" t="s">
        <v>19</v>
      </c>
      <c r="O123" s="1" t="s">
        <v>44</v>
      </c>
      <c r="P123" s="4">
        <v>7.73</v>
      </c>
      <c r="Q123" s="4">
        <v>8.5399999999999991</v>
      </c>
    </row>
    <row r="124" spans="1:17" x14ac:dyDescent="0.25">
      <c r="A124" s="1" t="s">
        <v>282</v>
      </c>
      <c r="B124" s="2">
        <v>45409</v>
      </c>
      <c r="C124" s="3" t="str">
        <f t="shared" si="3"/>
        <v>Apr</v>
      </c>
      <c r="D124" s="3" t="str">
        <f t="shared" si="4"/>
        <v>2024</v>
      </c>
      <c r="E124" s="1" t="s">
        <v>23</v>
      </c>
      <c r="F124" s="1" t="s">
        <v>24</v>
      </c>
      <c r="G124" s="1" t="s">
        <v>57</v>
      </c>
      <c r="H124" s="5">
        <v>36</v>
      </c>
      <c r="I124" s="6">
        <v>0</v>
      </c>
      <c r="J124" s="6">
        <v>0</v>
      </c>
      <c r="K124" s="6">
        <f t="shared" si="5"/>
        <v>0</v>
      </c>
      <c r="L124" s="1" t="s">
        <v>26</v>
      </c>
      <c r="M124" s="1" t="s">
        <v>434</v>
      </c>
      <c r="N124" s="1" t="s">
        <v>38</v>
      </c>
      <c r="O124" s="1" t="s">
        <v>44</v>
      </c>
      <c r="P124" s="4">
        <v>5.7</v>
      </c>
      <c r="Q124" s="4">
        <v>5.9</v>
      </c>
    </row>
    <row r="125" spans="1:17" x14ac:dyDescent="0.25">
      <c r="A125" s="1" t="s">
        <v>284</v>
      </c>
      <c r="B125" s="2">
        <v>45246</v>
      </c>
      <c r="C125" s="3" t="str">
        <f t="shared" si="3"/>
        <v>Nov</v>
      </c>
      <c r="D125" s="3" t="str">
        <f t="shared" si="4"/>
        <v>2023</v>
      </c>
      <c r="E125" s="1" t="s">
        <v>60</v>
      </c>
      <c r="F125" s="1" t="s">
        <v>61</v>
      </c>
      <c r="G125" s="1" t="s">
        <v>32</v>
      </c>
      <c r="H125" s="5">
        <v>4</v>
      </c>
      <c r="I125" s="6">
        <v>56211871</v>
      </c>
      <c r="J125" s="6">
        <v>0</v>
      </c>
      <c r="K125" s="6">
        <f t="shared" si="5"/>
        <v>56211871</v>
      </c>
      <c r="L125" s="1" t="s">
        <v>26</v>
      </c>
      <c r="M125" s="1" t="s">
        <v>434</v>
      </c>
      <c r="N125" s="1" t="s">
        <v>27</v>
      </c>
      <c r="O125" s="1" t="s">
        <v>20</v>
      </c>
      <c r="P125" s="4">
        <v>7.38</v>
      </c>
      <c r="Q125" s="4">
        <v>3.93</v>
      </c>
    </row>
    <row r="126" spans="1:17" x14ac:dyDescent="0.25">
      <c r="A126" s="1" t="s">
        <v>285</v>
      </c>
      <c r="B126" s="2">
        <v>45367</v>
      </c>
      <c r="C126" s="3" t="str">
        <f t="shared" si="3"/>
        <v>Mar</v>
      </c>
      <c r="D126" s="3" t="str">
        <f t="shared" si="4"/>
        <v>2024</v>
      </c>
      <c r="E126" s="1" t="s">
        <v>77</v>
      </c>
      <c r="F126" s="1" t="s">
        <v>31</v>
      </c>
      <c r="G126" s="1" t="s">
        <v>69</v>
      </c>
      <c r="H126" s="5">
        <v>27</v>
      </c>
      <c r="I126" s="6">
        <v>128201908</v>
      </c>
      <c r="J126" s="6">
        <v>48849357</v>
      </c>
      <c r="K126" s="6">
        <f t="shared" si="5"/>
        <v>79352551</v>
      </c>
      <c r="L126" s="1" t="s">
        <v>90</v>
      </c>
      <c r="M126" s="1" t="s">
        <v>435</v>
      </c>
      <c r="N126" s="1" t="s">
        <v>19</v>
      </c>
      <c r="O126" s="1" t="s">
        <v>44</v>
      </c>
      <c r="P126" s="4">
        <v>9.07</v>
      </c>
      <c r="Q126" s="4">
        <v>7.49</v>
      </c>
    </row>
    <row r="127" spans="1:17" x14ac:dyDescent="0.25">
      <c r="A127" s="1" t="s">
        <v>287</v>
      </c>
      <c r="B127" s="2">
        <v>45349</v>
      </c>
      <c r="C127" s="3" t="str">
        <f t="shared" si="3"/>
        <v>Feb</v>
      </c>
      <c r="D127" s="3" t="str">
        <f t="shared" si="4"/>
        <v>2024</v>
      </c>
      <c r="E127" s="1" t="s">
        <v>37</v>
      </c>
      <c r="F127" s="1" t="s">
        <v>24</v>
      </c>
      <c r="G127" s="1" t="s">
        <v>69</v>
      </c>
      <c r="H127" s="5">
        <v>13</v>
      </c>
      <c r="I127" s="6">
        <v>0</v>
      </c>
      <c r="J127" s="6">
        <v>0</v>
      </c>
      <c r="K127" s="6">
        <f t="shared" si="5"/>
        <v>0</v>
      </c>
      <c r="L127" s="1" t="s">
        <v>18</v>
      </c>
      <c r="M127" s="1" t="s">
        <v>433</v>
      </c>
      <c r="N127" s="1" t="s">
        <v>19</v>
      </c>
      <c r="O127" s="1" t="s">
        <v>44</v>
      </c>
      <c r="P127" s="4">
        <v>4.75</v>
      </c>
      <c r="Q127" s="4">
        <v>7.01</v>
      </c>
    </row>
    <row r="128" spans="1:17" x14ac:dyDescent="0.25">
      <c r="A128" s="1" t="s">
        <v>289</v>
      </c>
      <c r="B128" s="2">
        <v>45049</v>
      </c>
      <c r="C128" s="3" t="str">
        <f t="shared" si="3"/>
        <v>May</v>
      </c>
      <c r="D128" s="3" t="str">
        <f t="shared" si="4"/>
        <v>2023</v>
      </c>
      <c r="E128" s="1" t="s">
        <v>41</v>
      </c>
      <c r="F128" s="1" t="s">
        <v>42</v>
      </c>
      <c r="G128" s="1" t="s">
        <v>25</v>
      </c>
      <c r="H128" s="5">
        <v>5</v>
      </c>
      <c r="I128" s="6">
        <v>110082112</v>
      </c>
      <c r="J128" s="6">
        <v>0</v>
      </c>
      <c r="K128" s="6">
        <f t="shared" si="5"/>
        <v>110082112</v>
      </c>
      <c r="L128" s="1" t="s">
        <v>26</v>
      </c>
      <c r="M128" s="1" t="s">
        <v>434</v>
      </c>
      <c r="N128" s="1" t="s">
        <v>34</v>
      </c>
      <c r="O128" s="1" t="s">
        <v>20</v>
      </c>
      <c r="P128" s="4">
        <v>10.52</v>
      </c>
      <c r="Q128" s="4">
        <v>7.44</v>
      </c>
    </row>
    <row r="129" spans="1:17" x14ac:dyDescent="0.25">
      <c r="A129" s="1" t="s">
        <v>291</v>
      </c>
      <c r="B129" s="2">
        <v>45065</v>
      </c>
      <c r="C129" s="3" t="str">
        <f t="shared" si="3"/>
        <v>May</v>
      </c>
      <c r="D129" s="3" t="str">
        <f t="shared" si="4"/>
        <v>2023</v>
      </c>
      <c r="E129" s="1" t="s">
        <v>87</v>
      </c>
      <c r="F129" s="1" t="s">
        <v>61</v>
      </c>
      <c r="G129" s="1" t="s">
        <v>49</v>
      </c>
      <c r="H129" s="5">
        <v>13</v>
      </c>
      <c r="I129" s="6">
        <v>0</v>
      </c>
      <c r="J129" s="6">
        <v>0</v>
      </c>
      <c r="K129" s="6">
        <f t="shared" si="5"/>
        <v>0</v>
      </c>
      <c r="L129" s="1" t="s">
        <v>18</v>
      </c>
      <c r="M129" s="1" t="s">
        <v>433</v>
      </c>
      <c r="N129" s="1" t="s">
        <v>19</v>
      </c>
      <c r="O129" s="1" t="s">
        <v>44</v>
      </c>
      <c r="P129" s="4">
        <v>6.52</v>
      </c>
      <c r="Q129" s="4">
        <v>3.37</v>
      </c>
    </row>
    <row r="130" spans="1:17" x14ac:dyDescent="0.25">
      <c r="A130" s="1" t="s">
        <v>293</v>
      </c>
      <c r="B130" s="2">
        <v>45427</v>
      </c>
      <c r="C130" s="3" t="str">
        <f t="shared" si="3"/>
        <v>May</v>
      </c>
      <c r="D130" s="3" t="str">
        <f t="shared" si="4"/>
        <v>2024</v>
      </c>
      <c r="E130" s="1" t="s">
        <v>77</v>
      </c>
      <c r="F130" s="1" t="s">
        <v>31</v>
      </c>
      <c r="G130" s="1" t="s">
        <v>32</v>
      </c>
      <c r="H130" s="5">
        <v>20</v>
      </c>
      <c r="I130" s="6">
        <v>0</v>
      </c>
      <c r="J130" s="6">
        <v>0</v>
      </c>
      <c r="K130" s="6">
        <f t="shared" si="5"/>
        <v>0</v>
      </c>
      <c r="L130" s="1" t="s">
        <v>90</v>
      </c>
      <c r="M130" s="1" t="s">
        <v>435</v>
      </c>
      <c r="N130" s="1" t="s">
        <v>34</v>
      </c>
      <c r="O130" s="1" t="s">
        <v>44</v>
      </c>
      <c r="P130" s="4">
        <v>9.07</v>
      </c>
      <c r="Q130" s="4">
        <v>7.49</v>
      </c>
    </row>
    <row r="131" spans="1:17" x14ac:dyDescent="0.25">
      <c r="A131" s="1" t="s">
        <v>295</v>
      </c>
      <c r="B131" s="2">
        <v>45200</v>
      </c>
      <c r="C131" s="3" t="str">
        <f t="shared" ref="C131:C194" si="6">TEXT(B131,"mmm")</f>
        <v>Oct</v>
      </c>
      <c r="D131" s="3" t="str">
        <f t="shared" ref="D131:D194" si="7">TEXT(B131,"yyyy")</f>
        <v>2023</v>
      </c>
      <c r="E131" s="1" t="s">
        <v>84</v>
      </c>
      <c r="F131" s="1" t="s">
        <v>42</v>
      </c>
      <c r="G131" s="1" t="s">
        <v>57</v>
      </c>
      <c r="H131" s="5">
        <v>8</v>
      </c>
      <c r="I131" s="6">
        <v>70516565</v>
      </c>
      <c r="J131" s="6">
        <v>0</v>
      </c>
      <c r="K131" s="6">
        <f t="shared" ref="K131:K194" si="8">I131-J131</f>
        <v>70516565</v>
      </c>
      <c r="L131" s="1" t="s">
        <v>33</v>
      </c>
      <c r="M131" s="1" t="s">
        <v>435</v>
      </c>
      <c r="N131" s="1" t="s">
        <v>27</v>
      </c>
      <c r="O131" s="1" t="s">
        <v>44</v>
      </c>
      <c r="P131" s="4">
        <v>12.17</v>
      </c>
      <c r="Q131" s="4">
        <v>6.66</v>
      </c>
    </row>
    <row r="132" spans="1:17" x14ac:dyDescent="0.25">
      <c r="A132" s="1" t="s">
        <v>297</v>
      </c>
      <c r="B132" s="2">
        <v>45151</v>
      </c>
      <c r="C132" s="3" t="str">
        <f t="shared" si="6"/>
        <v>Aug</v>
      </c>
      <c r="D132" s="3" t="str">
        <f t="shared" si="7"/>
        <v>2023</v>
      </c>
      <c r="E132" s="1" t="s">
        <v>84</v>
      </c>
      <c r="F132" s="1" t="s">
        <v>42</v>
      </c>
      <c r="G132" s="1" t="s">
        <v>25</v>
      </c>
      <c r="H132" s="5">
        <v>7</v>
      </c>
      <c r="I132" s="6">
        <v>148818146</v>
      </c>
      <c r="J132" s="6">
        <v>44775288</v>
      </c>
      <c r="K132" s="6">
        <f t="shared" si="8"/>
        <v>104042858</v>
      </c>
      <c r="L132" s="1" t="s">
        <v>33</v>
      </c>
      <c r="M132" s="1" t="s">
        <v>435</v>
      </c>
      <c r="N132" s="1" t="s">
        <v>27</v>
      </c>
      <c r="O132" s="1" t="s">
        <v>44</v>
      </c>
      <c r="P132" s="4">
        <v>12.17</v>
      </c>
      <c r="Q132" s="4">
        <v>6.66</v>
      </c>
    </row>
    <row r="133" spans="1:17" x14ac:dyDescent="0.25">
      <c r="A133" s="1" t="s">
        <v>299</v>
      </c>
      <c r="B133" s="2">
        <v>45401</v>
      </c>
      <c r="C133" s="3" t="str">
        <f t="shared" si="6"/>
        <v>Apr</v>
      </c>
      <c r="D133" s="3" t="str">
        <f t="shared" si="7"/>
        <v>2024</v>
      </c>
      <c r="E133" s="1" t="s">
        <v>52</v>
      </c>
      <c r="F133" s="1" t="s">
        <v>42</v>
      </c>
      <c r="G133" s="1" t="s">
        <v>49</v>
      </c>
      <c r="H133" s="5">
        <v>22</v>
      </c>
      <c r="I133" s="6">
        <v>0</v>
      </c>
      <c r="J133" s="6">
        <v>0</v>
      </c>
      <c r="K133" s="6">
        <f t="shared" si="8"/>
        <v>0</v>
      </c>
      <c r="L133" s="1" t="s">
        <v>90</v>
      </c>
      <c r="M133" s="1" t="s">
        <v>435</v>
      </c>
      <c r="N133" s="1" t="s">
        <v>38</v>
      </c>
      <c r="O133" s="1" t="s">
        <v>44</v>
      </c>
      <c r="P133" s="4">
        <v>12.99</v>
      </c>
      <c r="Q133" s="4">
        <v>7.6</v>
      </c>
    </row>
    <row r="134" spans="1:17" x14ac:dyDescent="0.25">
      <c r="A134" s="1" t="s">
        <v>301</v>
      </c>
      <c r="B134" s="2">
        <v>45270</v>
      </c>
      <c r="C134" s="3" t="str">
        <f t="shared" si="6"/>
        <v>Dec</v>
      </c>
      <c r="D134" s="3" t="str">
        <f t="shared" si="7"/>
        <v>2023</v>
      </c>
      <c r="E134" s="1" t="s">
        <v>23</v>
      </c>
      <c r="F134" s="1" t="s">
        <v>24</v>
      </c>
      <c r="G134" s="1" t="s">
        <v>69</v>
      </c>
      <c r="H134" s="5">
        <v>10</v>
      </c>
      <c r="I134" s="6">
        <v>97391317</v>
      </c>
      <c r="J134" s="6">
        <v>0</v>
      </c>
      <c r="K134" s="6">
        <f t="shared" si="8"/>
        <v>97391317</v>
      </c>
      <c r="L134" s="1" t="s">
        <v>33</v>
      </c>
      <c r="M134" s="1" t="s">
        <v>435</v>
      </c>
      <c r="N134" s="1" t="s">
        <v>34</v>
      </c>
      <c r="O134" s="1" t="s">
        <v>44</v>
      </c>
      <c r="P134" s="4">
        <v>5.7</v>
      </c>
      <c r="Q134" s="4">
        <v>5.9</v>
      </c>
    </row>
    <row r="135" spans="1:17" x14ac:dyDescent="0.25">
      <c r="A135" s="1" t="s">
        <v>303</v>
      </c>
      <c r="B135" s="2">
        <v>45334</v>
      </c>
      <c r="C135" s="3" t="str">
        <f t="shared" si="6"/>
        <v>Feb</v>
      </c>
      <c r="D135" s="3" t="str">
        <f t="shared" si="7"/>
        <v>2024</v>
      </c>
      <c r="E135" s="1" t="s">
        <v>30</v>
      </c>
      <c r="F135" s="1" t="s">
        <v>31</v>
      </c>
      <c r="G135" s="1" t="s">
        <v>32</v>
      </c>
      <c r="H135" s="5">
        <v>27</v>
      </c>
      <c r="I135" s="6">
        <v>124113375</v>
      </c>
      <c r="J135" s="6">
        <v>0</v>
      </c>
      <c r="K135" s="6">
        <f t="shared" si="8"/>
        <v>124113375</v>
      </c>
      <c r="L135" s="1" t="s">
        <v>26</v>
      </c>
      <c r="M135" s="1" t="s">
        <v>434</v>
      </c>
      <c r="N135" s="1" t="s">
        <v>34</v>
      </c>
      <c r="O135" s="1" t="s">
        <v>20</v>
      </c>
      <c r="P135" s="4">
        <v>7.73</v>
      </c>
      <c r="Q135" s="4">
        <v>8.5399999999999991</v>
      </c>
    </row>
    <row r="136" spans="1:17" x14ac:dyDescent="0.25">
      <c r="A136" s="1" t="s">
        <v>304</v>
      </c>
      <c r="B136" s="2">
        <v>44974</v>
      </c>
      <c r="C136" s="3" t="str">
        <f t="shared" si="6"/>
        <v>Feb</v>
      </c>
      <c r="D136" s="3" t="str">
        <f t="shared" si="7"/>
        <v>2023</v>
      </c>
      <c r="E136" s="1" t="s">
        <v>84</v>
      </c>
      <c r="F136" s="1" t="s">
        <v>42</v>
      </c>
      <c r="G136" s="1" t="s">
        <v>69</v>
      </c>
      <c r="H136" s="5">
        <v>12</v>
      </c>
      <c r="I136" s="6">
        <v>0</v>
      </c>
      <c r="J136" s="6">
        <v>0</v>
      </c>
      <c r="K136" s="6">
        <f t="shared" si="8"/>
        <v>0</v>
      </c>
      <c r="L136" s="1" t="s">
        <v>18</v>
      </c>
      <c r="M136" s="1" t="s">
        <v>433</v>
      </c>
      <c r="N136" s="1" t="s">
        <v>27</v>
      </c>
      <c r="O136" s="1" t="s">
        <v>20</v>
      </c>
      <c r="P136" s="4">
        <v>12.17</v>
      </c>
      <c r="Q136" s="4">
        <v>6.66</v>
      </c>
    </row>
    <row r="137" spans="1:17" x14ac:dyDescent="0.25">
      <c r="A137" s="1" t="s">
        <v>306</v>
      </c>
      <c r="B137" s="2">
        <v>45359</v>
      </c>
      <c r="C137" s="3" t="str">
        <f t="shared" si="6"/>
        <v>Mar</v>
      </c>
      <c r="D137" s="3" t="str">
        <f t="shared" si="7"/>
        <v>2024</v>
      </c>
      <c r="E137" s="1" t="s">
        <v>60</v>
      </c>
      <c r="F137" s="1" t="s">
        <v>61</v>
      </c>
      <c r="G137" s="1" t="s">
        <v>32</v>
      </c>
      <c r="H137" s="5">
        <v>34</v>
      </c>
      <c r="I137" s="6">
        <v>0</v>
      </c>
      <c r="J137" s="6">
        <v>74295517</v>
      </c>
      <c r="K137" s="6">
        <f t="shared" si="8"/>
        <v>-74295517</v>
      </c>
      <c r="L137" s="1" t="s">
        <v>90</v>
      </c>
      <c r="M137" s="1" t="s">
        <v>435</v>
      </c>
      <c r="N137" s="1" t="s">
        <v>27</v>
      </c>
      <c r="O137" s="1" t="s">
        <v>20</v>
      </c>
      <c r="P137" s="4">
        <v>7.38</v>
      </c>
      <c r="Q137" s="4">
        <v>3.93</v>
      </c>
    </row>
    <row r="138" spans="1:17" x14ac:dyDescent="0.25">
      <c r="A138" s="1" t="s">
        <v>308</v>
      </c>
      <c r="B138" s="2">
        <v>45382</v>
      </c>
      <c r="C138" s="3" t="str">
        <f t="shared" si="6"/>
        <v>Mar</v>
      </c>
      <c r="D138" s="3" t="str">
        <f t="shared" si="7"/>
        <v>2024</v>
      </c>
      <c r="E138" s="1" t="s">
        <v>87</v>
      </c>
      <c r="F138" s="1" t="s">
        <v>61</v>
      </c>
      <c r="G138" s="1" t="s">
        <v>32</v>
      </c>
      <c r="H138" s="5">
        <v>25</v>
      </c>
      <c r="I138" s="6">
        <v>11180373</v>
      </c>
      <c r="J138" s="6">
        <v>73348632</v>
      </c>
      <c r="K138" s="6">
        <f t="shared" si="8"/>
        <v>-62168259</v>
      </c>
      <c r="L138" s="1" t="s">
        <v>90</v>
      </c>
      <c r="M138" s="1" t="s">
        <v>435</v>
      </c>
      <c r="N138" s="1" t="s">
        <v>38</v>
      </c>
      <c r="O138" s="1" t="s">
        <v>44</v>
      </c>
      <c r="P138" s="4">
        <v>6.52</v>
      </c>
      <c r="Q138" s="4">
        <v>3.37</v>
      </c>
    </row>
    <row r="139" spans="1:17" x14ac:dyDescent="0.25">
      <c r="A139" s="1" t="s">
        <v>310</v>
      </c>
      <c r="B139" s="2">
        <v>45247</v>
      </c>
      <c r="C139" s="3" t="str">
        <f t="shared" si="6"/>
        <v>Nov</v>
      </c>
      <c r="D139" s="3" t="str">
        <f t="shared" si="7"/>
        <v>2023</v>
      </c>
      <c r="E139" s="1" t="s">
        <v>67</v>
      </c>
      <c r="F139" s="1" t="s">
        <v>68</v>
      </c>
      <c r="G139" s="1" t="s">
        <v>32</v>
      </c>
      <c r="H139" s="5">
        <v>15</v>
      </c>
      <c r="I139" s="6">
        <v>19511737</v>
      </c>
      <c r="J139" s="6">
        <v>0</v>
      </c>
      <c r="K139" s="6">
        <f t="shared" si="8"/>
        <v>19511737</v>
      </c>
      <c r="L139" s="1" t="s">
        <v>90</v>
      </c>
      <c r="M139" s="1" t="s">
        <v>435</v>
      </c>
      <c r="N139" s="1" t="s">
        <v>27</v>
      </c>
      <c r="O139" s="1" t="s">
        <v>44</v>
      </c>
      <c r="P139" s="4">
        <v>11.83</v>
      </c>
      <c r="Q139" s="4">
        <v>13.15</v>
      </c>
    </row>
    <row r="140" spans="1:17" x14ac:dyDescent="0.25">
      <c r="A140" s="1" t="s">
        <v>312</v>
      </c>
      <c r="B140" s="2">
        <v>44942</v>
      </c>
      <c r="C140" s="3" t="str">
        <f t="shared" si="6"/>
        <v>Jan</v>
      </c>
      <c r="D140" s="3" t="str">
        <f t="shared" si="7"/>
        <v>2023</v>
      </c>
      <c r="E140" s="1" t="s">
        <v>15</v>
      </c>
      <c r="F140" s="1" t="s">
        <v>16</v>
      </c>
      <c r="G140" s="1" t="s">
        <v>32</v>
      </c>
      <c r="H140" s="5">
        <v>39</v>
      </c>
      <c r="I140" s="6">
        <v>0</v>
      </c>
      <c r="J140" s="6">
        <v>0</v>
      </c>
      <c r="K140" s="6">
        <f t="shared" si="8"/>
        <v>0</v>
      </c>
      <c r="L140" s="1" t="s">
        <v>18</v>
      </c>
      <c r="M140" s="1" t="s">
        <v>433</v>
      </c>
      <c r="N140" s="1" t="s">
        <v>34</v>
      </c>
      <c r="O140" s="1" t="s">
        <v>44</v>
      </c>
      <c r="P140" s="4">
        <v>6.21</v>
      </c>
      <c r="Q140" s="4">
        <v>7.07</v>
      </c>
    </row>
    <row r="141" spans="1:17" x14ac:dyDescent="0.25">
      <c r="A141" s="1" t="s">
        <v>314</v>
      </c>
      <c r="B141" s="2">
        <v>45126</v>
      </c>
      <c r="C141" s="3" t="str">
        <f t="shared" si="6"/>
        <v>Jul</v>
      </c>
      <c r="D141" s="3" t="str">
        <f t="shared" si="7"/>
        <v>2023</v>
      </c>
      <c r="E141" s="1" t="s">
        <v>52</v>
      </c>
      <c r="F141" s="1" t="s">
        <v>42</v>
      </c>
      <c r="G141" s="1" t="s">
        <v>25</v>
      </c>
      <c r="H141" s="5">
        <v>26</v>
      </c>
      <c r="I141" s="6">
        <v>0</v>
      </c>
      <c r="J141" s="6">
        <v>0</v>
      </c>
      <c r="K141" s="6">
        <f t="shared" si="8"/>
        <v>0</v>
      </c>
      <c r="L141" s="1" t="s">
        <v>90</v>
      </c>
      <c r="M141" s="1" t="s">
        <v>435</v>
      </c>
      <c r="N141" s="1" t="s">
        <v>27</v>
      </c>
      <c r="O141" s="1" t="s">
        <v>44</v>
      </c>
      <c r="P141" s="4">
        <v>12.99</v>
      </c>
      <c r="Q141" s="4">
        <v>7.6</v>
      </c>
    </row>
    <row r="142" spans="1:17" x14ac:dyDescent="0.25">
      <c r="A142" s="1" t="s">
        <v>316</v>
      </c>
      <c r="B142" s="2">
        <v>45005</v>
      </c>
      <c r="C142" s="3" t="str">
        <f t="shared" si="6"/>
        <v>Mar</v>
      </c>
      <c r="D142" s="3" t="str">
        <f t="shared" si="7"/>
        <v>2023</v>
      </c>
      <c r="E142" s="1" t="s">
        <v>72</v>
      </c>
      <c r="F142" s="1" t="s">
        <v>61</v>
      </c>
      <c r="G142" s="1" t="s">
        <v>57</v>
      </c>
      <c r="H142" s="5">
        <v>24</v>
      </c>
      <c r="I142" s="6">
        <v>0</v>
      </c>
      <c r="J142" s="6">
        <v>0</v>
      </c>
      <c r="K142" s="6">
        <f t="shared" si="8"/>
        <v>0</v>
      </c>
      <c r="L142" s="1" t="s">
        <v>26</v>
      </c>
      <c r="M142" s="1" t="s">
        <v>434</v>
      </c>
      <c r="N142" s="1" t="s">
        <v>19</v>
      </c>
      <c r="O142" s="1" t="s">
        <v>20</v>
      </c>
      <c r="P142" s="4">
        <v>6.9</v>
      </c>
      <c r="Q142" s="4">
        <v>3.3</v>
      </c>
    </row>
    <row r="143" spans="1:17" x14ac:dyDescent="0.25">
      <c r="A143" s="1" t="s">
        <v>318</v>
      </c>
      <c r="B143" s="2">
        <v>45196</v>
      </c>
      <c r="C143" s="3" t="str">
        <f t="shared" si="6"/>
        <v>Sep</v>
      </c>
      <c r="D143" s="3" t="str">
        <f t="shared" si="7"/>
        <v>2023</v>
      </c>
      <c r="E143" s="1" t="s">
        <v>67</v>
      </c>
      <c r="F143" s="1" t="s">
        <v>68</v>
      </c>
      <c r="G143" s="1" t="s">
        <v>69</v>
      </c>
      <c r="H143" s="5">
        <v>4</v>
      </c>
      <c r="I143" s="6">
        <v>0</v>
      </c>
      <c r="J143" s="6">
        <v>0</v>
      </c>
      <c r="K143" s="6">
        <f t="shared" si="8"/>
        <v>0</v>
      </c>
      <c r="L143" s="1" t="s">
        <v>90</v>
      </c>
      <c r="M143" s="1" t="s">
        <v>435</v>
      </c>
      <c r="N143" s="1" t="s">
        <v>38</v>
      </c>
      <c r="O143" s="1" t="s">
        <v>20</v>
      </c>
      <c r="P143" s="4">
        <v>11.83</v>
      </c>
      <c r="Q143" s="4">
        <v>13.15</v>
      </c>
    </row>
    <row r="144" spans="1:17" x14ac:dyDescent="0.25">
      <c r="A144" s="1" t="s">
        <v>319</v>
      </c>
      <c r="B144" s="2">
        <v>45262</v>
      </c>
      <c r="C144" s="3" t="str">
        <f t="shared" si="6"/>
        <v>Dec</v>
      </c>
      <c r="D144" s="3" t="str">
        <f t="shared" si="7"/>
        <v>2023</v>
      </c>
      <c r="E144" s="1" t="s">
        <v>67</v>
      </c>
      <c r="F144" s="1" t="s">
        <v>68</v>
      </c>
      <c r="G144" s="1" t="s">
        <v>43</v>
      </c>
      <c r="H144" s="5">
        <v>9</v>
      </c>
      <c r="I144" s="6">
        <v>29840029</v>
      </c>
      <c r="J144" s="6">
        <v>0</v>
      </c>
      <c r="K144" s="6">
        <f t="shared" si="8"/>
        <v>29840029</v>
      </c>
      <c r="L144" s="1" t="s">
        <v>26</v>
      </c>
      <c r="M144" s="1" t="s">
        <v>434</v>
      </c>
      <c r="N144" s="1" t="s">
        <v>19</v>
      </c>
      <c r="O144" s="1" t="s">
        <v>44</v>
      </c>
      <c r="P144" s="4">
        <v>11.83</v>
      </c>
      <c r="Q144" s="4">
        <v>13.15</v>
      </c>
    </row>
    <row r="145" spans="1:17" x14ac:dyDescent="0.25">
      <c r="A145" s="1" t="s">
        <v>320</v>
      </c>
      <c r="B145" s="2">
        <v>45125</v>
      </c>
      <c r="C145" s="3" t="str">
        <f t="shared" si="6"/>
        <v>Jul</v>
      </c>
      <c r="D145" s="3" t="str">
        <f t="shared" si="7"/>
        <v>2023</v>
      </c>
      <c r="E145" s="1" t="s">
        <v>64</v>
      </c>
      <c r="F145" s="1" t="s">
        <v>42</v>
      </c>
      <c r="G145" s="1" t="s">
        <v>17</v>
      </c>
      <c r="H145" s="5">
        <v>4</v>
      </c>
      <c r="I145" s="6">
        <v>109926171</v>
      </c>
      <c r="J145" s="6">
        <v>0</v>
      </c>
      <c r="K145" s="6">
        <f t="shared" si="8"/>
        <v>109926171</v>
      </c>
      <c r="L145" s="1" t="s">
        <v>33</v>
      </c>
      <c r="M145" s="1" t="s">
        <v>435</v>
      </c>
      <c r="N145" s="1" t="s">
        <v>34</v>
      </c>
      <c r="O145" s="1" t="s">
        <v>20</v>
      </c>
      <c r="P145" s="4">
        <v>12</v>
      </c>
      <c r="Q145" s="4">
        <v>8.52</v>
      </c>
    </row>
    <row r="146" spans="1:17" x14ac:dyDescent="0.25">
      <c r="A146" s="1" t="s">
        <v>322</v>
      </c>
      <c r="B146" s="2">
        <v>45010</v>
      </c>
      <c r="C146" s="3" t="str">
        <f t="shared" si="6"/>
        <v>Mar</v>
      </c>
      <c r="D146" s="3" t="str">
        <f t="shared" si="7"/>
        <v>2023</v>
      </c>
      <c r="E146" s="1" t="s">
        <v>15</v>
      </c>
      <c r="F146" s="1" t="s">
        <v>16</v>
      </c>
      <c r="G146" s="1" t="s">
        <v>49</v>
      </c>
      <c r="H146" s="5">
        <v>25</v>
      </c>
      <c r="I146" s="6">
        <v>0</v>
      </c>
      <c r="J146" s="6">
        <v>0</v>
      </c>
      <c r="K146" s="6">
        <f t="shared" si="8"/>
        <v>0</v>
      </c>
      <c r="L146" s="1" t="s">
        <v>18</v>
      </c>
      <c r="M146" s="1" t="s">
        <v>433</v>
      </c>
      <c r="N146" s="1" t="s">
        <v>27</v>
      </c>
      <c r="O146" s="1" t="s">
        <v>20</v>
      </c>
      <c r="P146" s="4">
        <v>6.21</v>
      </c>
      <c r="Q146" s="4">
        <v>7.07</v>
      </c>
    </row>
    <row r="147" spans="1:17" x14ac:dyDescent="0.25">
      <c r="A147" s="1" t="s">
        <v>324</v>
      </c>
      <c r="B147" s="2">
        <v>45314</v>
      </c>
      <c r="C147" s="3" t="str">
        <f t="shared" si="6"/>
        <v>Jan</v>
      </c>
      <c r="D147" s="3" t="str">
        <f t="shared" si="7"/>
        <v>2024</v>
      </c>
      <c r="E147" s="1" t="s">
        <v>77</v>
      </c>
      <c r="F147" s="1" t="s">
        <v>31</v>
      </c>
      <c r="G147" s="1" t="s">
        <v>32</v>
      </c>
      <c r="H147" s="5">
        <v>39</v>
      </c>
      <c r="I147" s="6">
        <v>0</v>
      </c>
      <c r="J147" s="6">
        <v>0</v>
      </c>
      <c r="K147" s="6">
        <f t="shared" si="8"/>
        <v>0</v>
      </c>
      <c r="L147" s="1" t="s">
        <v>33</v>
      </c>
      <c r="M147" s="1" t="s">
        <v>435</v>
      </c>
      <c r="N147" s="1" t="s">
        <v>34</v>
      </c>
      <c r="O147" s="1" t="s">
        <v>44</v>
      </c>
      <c r="P147" s="4">
        <v>9.07</v>
      </c>
      <c r="Q147" s="4">
        <v>7.49</v>
      </c>
    </row>
    <row r="148" spans="1:17" x14ac:dyDescent="0.25">
      <c r="A148" s="1" t="s">
        <v>326</v>
      </c>
      <c r="B148" s="2">
        <v>44927</v>
      </c>
      <c r="C148" s="3" t="str">
        <f t="shared" si="6"/>
        <v>Jan</v>
      </c>
      <c r="D148" s="3" t="str">
        <f t="shared" si="7"/>
        <v>2023</v>
      </c>
      <c r="E148" s="1" t="s">
        <v>64</v>
      </c>
      <c r="F148" s="1" t="s">
        <v>42</v>
      </c>
      <c r="G148" s="1" t="s">
        <v>25</v>
      </c>
      <c r="H148" s="5">
        <v>30</v>
      </c>
      <c r="I148" s="6">
        <v>0</v>
      </c>
      <c r="J148" s="6">
        <v>0</v>
      </c>
      <c r="K148" s="6">
        <f t="shared" si="8"/>
        <v>0</v>
      </c>
      <c r="L148" s="1" t="s">
        <v>26</v>
      </c>
      <c r="M148" s="1" t="s">
        <v>434</v>
      </c>
      <c r="N148" s="1" t="s">
        <v>27</v>
      </c>
      <c r="O148" s="1" t="s">
        <v>44</v>
      </c>
      <c r="P148" s="4">
        <v>12</v>
      </c>
      <c r="Q148" s="4">
        <v>8.52</v>
      </c>
    </row>
    <row r="149" spans="1:17" x14ac:dyDescent="0.25">
      <c r="A149" s="1" t="s">
        <v>328</v>
      </c>
      <c r="B149" s="2">
        <v>44975</v>
      </c>
      <c r="C149" s="3" t="str">
        <f t="shared" si="6"/>
        <v>Feb</v>
      </c>
      <c r="D149" s="3" t="str">
        <f t="shared" si="7"/>
        <v>2023</v>
      </c>
      <c r="E149" s="1" t="s">
        <v>72</v>
      </c>
      <c r="F149" s="1" t="s">
        <v>61</v>
      </c>
      <c r="G149" s="1" t="s">
        <v>57</v>
      </c>
      <c r="H149" s="5">
        <v>18</v>
      </c>
      <c r="I149" s="6">
        <v>0</v>
      </c>
      <c r="J149" s="6">
        <v>0</v>
      </c>
      <c r="K149" s="6">
        <f t="shared" si="8"/>
        <v>0</v>
      </c>
      <c r="L149" s="1" t="s">
        <v>18</v>
      </c>
      <c r="M149" s="1" t="s">
        <v>433</v>
      </c>
      <c r="N149" s="1" t="s">
        <v>27</v>
      </c>
      <c r="O149" s="1" t="s">
        <v>44</v>
      </c>
      <c r="P149" s="4">
        <v>6.9</v>
      </c>
      <c r="Q149" s="4">
        <v>3.3</v>
      </c>
    </row>
    <row r="150" spans="1:17" x14ac:dyDescent="0.25">
      <c r="A150" s="1" t="s">
        <v>329</v>
      </c>
      <c r="B150" s="2">
        <v>45077</v>
      </c>
      <c r="C150" s="3" t="str">
        <f t="shared" si="6"/>
        <v>May</v>
      </c>
      <c r="D150" s="3" t="str">
        <f t="shared" si="7"/>
        <v>2023</v>
      </c>
      <c r="E150" s="1" t="s">
        <v>52</v>
      </c>
      <c r="F150" s="1" t="s">
        <v>42</v>
      </c>
      <c r="G150" s="1" t="s">
        <v>57</v>
      </c>
      <c r="H150" s="5">
        <v>9</v>
      </c>
      <c r="I150" s="6">
        <v>0</v>
      </c>
      <c r="J150" s="6">
        <v>0</v>
      </c>
      <c r="K150" s="6">
        <f t="shared" si="8"/>
        <v>0</v>
      </c>
      <c r="L150" s="1" t="s">
        <v>90</v>
      </c>
      <c r="M150" s="1" t="s">
        <v>435</v>
      </c>
      <c r="N150" s="1" t="s">
        <v>38</v>
      </c>
      <c r="O150" s="1" t="s">
        <v>20</v>
      </c>
      <c r="P150" s="4">
        <v>12.99</v>
      </c>
      <c r="Q150" s="4">
        <v>7.6</v>
      </c>
    </row>
    <row r="151" spans="1:17" x14ac:dyDescent="0.25">
      <c r="A151" s="1" t="s">
        <v>331</v>
      </c>
      <c r="B151" s="2">
        <v>45115</v>
      </c>
      <c r="C151" s="3" t="str">
        <f t="shared" si="6"/>
        <v>Jul</v>
      </c>
      <c r="D151" s="3" t="str">
        <f t="shared" si="7"/>
        <v>2023</v>
      </c>
      <c r="E151" s="1" t="s">
        <v>15</v>
      </c>
      <c r="F151" s="1" t="s">
        <v>16</v>
      </c>
      <c r="G151" s="1" t="s">
        <v>17</v>
      </c>
      <c r="H151" s="5">
        <v>11</v>
      </c>
      <c r="I151" s="6">
        <v>127238751</v>
      </c>
      <c r="J151" s="6">
        <v>0</v>
      </c>
      <c r="K151" s="6">
        <f t="shared" si="8"/>
        <v>127238751</v>
      </c>
      <c r="L151" s="1" t="s">
        <v>26</v>
      </c>
      <c r="M151" s="1" t="s">
        <v>434</v>
      </c>
      <c r="N151" s="1" t="s">
        <v>38</v>
      </c>
      <c r="O151" s="1" t="s">
        <v>44</v>
      </c>
      <c r="P151" s="4">
        <v>6.21</v>
      </c>
      <c r="Q151" s="4">
        <v>7.07</v>
      </c>
    </row>
    <row r="152" spans="1:17" x14ac:dyDescent="0.25">
      <c r="A152" s="1" t="s">
        <v>333</v>
      </c>
      <c r="B152" s="2">
        <v>45216</v>
      </c>
      <c r="C152" s="3" t="str">
        <f t="shared" si="6"/>
        <v>Oct</v>
      </c>
      <c r="D152" s="3" t="str">
        <f t="shared" si="7"/>
        <v>2023</v>
      </c>
      <c r="E152" s="1" t="s">
        <v>84</v>
      </c>
      <c r="F152" s="1" t="s">
        <v>42</v>
      </c>
      <c r="G152" s="1" t="s">
        <v>32</v>
      </c>
      <c r="H152" s="5">
        <v>13</v>
      </c>
      <c r="I152" s="6">
        <v>0</v>
      </c>
      <c r="J152" s="6">
        <v>0</v>
      </c>
      <c r="K152" s="6">
        <f t="shared" si="8"/>
        <v>0</v>
      </c>
      <c r="L152" s="1" t="s">
        <v>33</v>
      </c>
      <c r="M152" s="1" t="s">
        <v>435</v>
      </c>
      <c r="N152" s="1" t="s">
        <v>34</v>
      </c>
      <c r="O152" s="1" t="s">
        <v>20</v>
      </c>
      <c r="P152" s="4">
        <v>12.17</v>
      </c>
      <c r="Q152" s="4">
        <v>6.66</v>
      </c>
    </row>
    <row r="153" spans="1:17" x14ac:dyDescent="0.25">
      <c r="A153" s="1" t="s">
        <v>335</v>
      </c>
      <c r="B153" s="2">
        <v>45156</v>
      </c>
      <c r="C153" s="3" t="str">
        <f t="shared" si="6"/>
        <v>Aug</v>
      </c>
      <c r="D153" s="3" t="str">
        <f t="shared" si="7"/>
        <v>2023</v>
      </c>
      <c r="E153" s="1" t="s">
        <v>84</v>
      </c>
      <c r="F153" s="1" t="s">
        <v>42</v>
      </c>
      <c r="G153" s="1" t="s">
        <v>32</v>
      </c>
      <c r="H153" s="5">
        <v>14</v>
      </c>
      <c r="I153" s="6">
        <v>0</v>
      </c>
      <c r="J153" s="6">
        <v>30285729</v>
      </c>
      <c r="K153" s="6">
        <f t="shared" si="8"/>
        <v>-30285729</v>
      </c>
      <c r="L153" s="1" t="s">
        <v>90</v>
      </c>
      <c r="M153" s="1" t="s">
        <v>435</v>
      </c>
      <c r="N153" s="1" t="s">
        <v>27</v>
      </c>
      <c r="O153" s="1" t="s">
        <v>20</v>
      </c>
      <c r="P153" s="4">
        <v>12.17</v>
      </c>
      <c r="Q153" s="4">
        <v>6.66</v>
      </c>
    </row>
    <row r="154" spans="1:17" x14ac:dyDescent="0.25">
      <c r="A154" s="1" t="s">
        <v>336</v>
      </c>
      <c r="B154" s="2">
        <v>45274</v>
      </c>
      <c r="C154" s="3" t="str">
        <f t="shared" si="6"/>
        <v>Dec</v>
      </c>
      <c r="D154" s="3" t="str">
        <f t="shared" si="7"/>
        <v>2023</v>
      </c>
      <c r="E154" s="1" t="s">
        <v>41</v>
      </c>
      <c r="F154" s="1" t="s">
        <v>42</v>
      </c>
      <c r="G154" s="1" t="s">
        <v>32</v>
      </c>
      <c r="H154" s="5">
        <v>23</v>
      </c>
      <c r="I154" s="6">
        <v>130909567</v>
      </c>
      <c r="J154" s="6">
        <v>0</v>
      </c>
      <c r="K154" s="6">
        <f t="shared" si="8"/>
        <v>130909567</v>
      </c>
      <c r="L154" s="1" t="s">
        <v>90</v>
      </c>
      <c r="M154" s="1" t="s">
        <v>435</v>
      </c>
      <c r="N154" s="1" t="s">
        <v>19</v>
      </c>
      <c r="O154" s="1" t="s">
        <v>44</v>
      </c>
      <c r="P154" s="4">
        <v>10.52</v>
      </c>
      <c r="Q154" s="4">
        <v>7.44</v>
      </c>
    </row>
    <row r="155" spans="1:17" x14ac:dyDescent="0.25">
      <c r="A155" s="1" t="s">
        <v>338</v>
      </c>
      <c r="B155" s="2">
        <v>45113</v>
      </c>
      <c r="C155" s="3" t="str">
        <f t="shared" si="6"/>
        <v>Jul</v>
      </c>
      <c r="D155" s="3" t="str">
        <f t="shared" si="7"/>
        <v>2023</v>
      </c>
      <c r="E155" s="1" t="s">
        <v>37</v>
      </c>
      <c r="F155" s="1" t="s">
        <v>24</v>
      </c>
      <c r="G155" s="1" t="s">
        <v>49</v>
      </c>
      <c r="H155" s="5">
        <v>33</v>
      </c>
      <c r="I155" s="6">
        <v>44851880</v>
      </c>
      <c r="J155" s="6">
        <v>0</v>
      </c>
      <c r="K155" s="6">
        <f t="shared" si="8"/>
        <v>44851880</v>
      </c>
      <c r="L155" s="1" t="s">
        <v>90</v>
      </c>
      <c r="M155" s="1" t="s">
        <v>435</v>
      </c>
      <c r="N155" s="1" t="s">
        <v>38</v>
      </c>
      <c r="O155" s="1" t="s">
        <v>20</v>
      </c>
      <c r="P155" s="4">
        <v>4.75</v>
      </c>
      <c r="Q155" s="4">
        <v>7.01</v>
      </c>
    </row>
    <row r="156" spans="1:17" x14ac:dyDescent="0.25">
      <c r="A156" s="1" t="s">
        <v>340</v>
      </c>
      <c r="B156" s="2">
        <v>44944</v>
      </c>
      <c r="C156" s="3" t="str">
        <f t="shared" si="6"/>
        <v>Jan</v>
      </c>
      <c r="D156" s="3" t="str">
        <f t="shared" si="7"/>
        <v>2023</v>
      </c>
      <c r="E156" s="1" t="s">
        <v>37</v>
      </c>
      <c r="F156" s="1" t="s">
        <v>24</v>
      </c>
      <c r="G156" s="1" t="s">
        <v>57</v>
      </c>
      <c r="H156" s="5">
        <v>25</v>
      </c>
      <c r="I156" s="6">
        <v>0</v>
      </c>
      <c r="J156" s="6">
        <v>0</v>
      </c>
      <c r="K156" s="6">
        <f t="shared" si="8"/>
        <v>0</v>
      </c>
      <c r="L156" s="1" t="s">
        <v>90</v>
      </c>
      <c r="M156" s="1" t="s">
        <v>435</v>
      </c>
      <c r="N156" s="1" t="s">
        <v>27</v>
      </c>
      <c r="O156" s="1" t="s">
        <v>44</v>
      </c>
      <c r="P156" s="4">
        <v>4.75</v>
      </c>
      <c r="Q156" s="4">
        <v>7.01</v>
      </c>
    </row>
    <row r="157" spans="1:17" x14ac:dyDescent="0.25">
      <c r="A157" s="1" t="s">
        <v>341</v>
      </c>
      <c r="B157" s="2">
        <v>45147</v>
      </c>
      <c r="C157" s="3" t="str">
        <f t="shared" si="6"/>
        <v>Aug</v>
      </c>
      <c r="D157" s="3" t="str">
        <f t="shared" si="7"/>
        <v>2023</v>
      </c>
      <c r="E157" s="1" t="s">
        <v>84</v>
      </c>
      <c r="F157" s="1" t="s">
        <v>42</v>
      </c>
      <c r="G157" s="1" t="s">
        <v>25</v>
      </c>
      <c r="H157" s="5">
        <v>31</v>
      </c>
      <c r="I157" s="6">
        <v>120324844</v>
      </c>
      <c r="J157" s="6">
        <v>0</v>
      </c>
      <c r="K157" s="6">
        <f t="shared" si="8"/>
        <v>120324844</v>
      </c>
      <c r="L157" s="1" t="s">
        <v>26</v>
      </c>
      <c r="M157" s="1" t="s">
        <v>434</v>
      </c>
      <c r="N157" s="1" t="s">
        <v>38</v>
      </c>
      <c r="O157" s="1" t="s">
        <v>20</v>
      </c>
      <c r="P157" s="4">
        <v>12.17</v>
      </c>
      <c r="Q157" s="4">
        <v>6.66</v>
      </c>
    </row>
    <row r="158" spans="1:17" x14ac:dyDescent="0.25">
      <c r="A158" s="1" t="s">
        <v>343</v>
      </c>
      <c r="B158" s="2">
        <v>45329</v>
      </c>
      <c r="C158" s="3" t="str">
        <f t="shared" si="6"/>
        <v>Feb</v>
      </c>
      <c r="D158" s="3" t="str">
        <f t="shared" si="7"/>
        <v>2024</v>
      </c>
      <c r="E158" s="1" t="s">
        <v>60</v>
      </c>
      <c r="F158" s="1" t="s">
        <v>61</v>
      </c>
      <c r="G158" s="1" t="s">
        <v>57</v>
      </c>
      <c r="H158" s="5">
        <v>10</v>
      </c>
      <c r="I158" s="6">
        <v>76795835</v>
      </c>
      <c r="J158" s="6">
        <v>0</v>
      </c>
      <c r="K158" s="6">
        <f t="shared" si="8"/>
        <v>76795835</v>
      </c>
      <c r="L158" s="1" t="s">
        <v>26</v>
      </c>
      <c r="M158" s="1" t="s">
        <v>434</v>
      </c>
      <c r="N158" s="1" t="s">
        <v>27</v>
      </c>
      <c r="O158" s="1" t="s">
        <v>20</v>
      </c>
      <c r="P158" s="4">
        <v>7.38</v>
      </c>
      <c r="Q158" s="4">
        <v>3.93</v>
      </c>
    </row>
    <row r="159" spans="1:17" x14ac:dyDescent="0.25">
      <c r="A159" s="1" t="s">
        <v>345</v>
      </c>
      <c r="B159" s="2">
        <v>45090</v>
      </c>
      <c r="C159" s="3" t="str">
        <f t="shared" si="6"/>
        <v>Jun</v>
      </c>
      <c r="D159" s="3" t="str">
        <f t="shared" si="7"/>
        <v>2023</v>
      </c>
      <c r="E159" s="1" t="s">
        <v>41</v>
      </c>
      <c r="F159" s="1" t="s">
        <v>42</v>
      </c>
      <c r="G159" s="1" t="s">
        <v>25</v>
      </c>
      <c r="H159" s="5">
        <v>24</v>
      </c>
      <c r="I159" s="6">
        <v>80203486</v>
      </c>
      <c r="J159" s="6">
        <v>0</v>
      </c>
      <c r="K159" s="6">
        <f t="shared" si="8"/>
        <v>80203486</v>
      </c>
      <c r="L159" s="1" t="s">
        <v>18</v>
      </c>
      <c r="M159" s="1" t="s">
        <v>433</v>
      </c>
      <c r="N159" s="1" t="s">
        <v>27</v>
      </c>
      <c r="O159" s="1" t="s">
        <v>20</v>
      </c>
      <c r="P159" s="4">
        <v>10.52</v>
      </c>
      <c r="Q159" s="4">
        <v>7.44</v>
      </c>
    </row>
    <row r="160" spans="1:17" x14ac:dyDescent="0.25">
      <c r="A160" s="1" t="s">
        <v>347</v>
      </c>
      <c r="B160" s="2">
        <v>45406</v>
      </c>
      <c r="C160" s="3" t="str">
        <f t="shared" si="6"/>
        <v>Apr</v>
      </c>
      <c r="D160" s="3" t="str">
        <f t="shared" si="7"/>
        <v>2024</v>
      </c>
      <c r="E160" s="1" t="s">
        <v>72</v>
      </c>
      <c r="F160" s="1" t="s">
        <v>61</v>
      </c>
      <c r="G160" s="1" t="s">
        <v>17</v>
      </c>
      <c r="H160" s="5">
        <v>2</v>
      </c>
      <c r="I160" s="6">
        <v>65043174</v>
      </c>
      <c r="J160" s="6">
        <v>0</v>
      </c>
      <c r="K160" s="6">
        <f t="shared" si="8"/>
        <v>65043174</v>
      </c>
      <c r="L160" s="1" t="s">
        <v>26</v>
      </c>
      <c r="M160" s="1" t="s">
        <v>434</v>
      </c>
      <c r="N160" s="1" t="s">
        <v>19</v>
      </c>
      <c r="O160" s="1" t="s">
        <v>44</v>
      </c>
      <c r="P160" s="4">
        <v>6.9</v>
      </c>
      <c r="Q160" s="4">
        <v>3.3</v>
      </c>
    </row>
    <row r="161" spans="1:17" x14ac:dyDescent="0.25">
      <c r="A161" s="1" t="s">
        <v>349</v>
      </c>
      <c r="B161" s="2">
        <v>45057</v>
      </c>
      <c r="C161" s="3" t="str">
        <f t="shared" si="6"/>
        <v>May</v>
      </c>
      <c r="D161" s="3" t="str">
        <f t="shared" si="7"/>
        <v>2023</v>
      </c>
      <c r="E161" s="1" t="s">
        <v>41</v>
      </c>
      <c r="F161" s="1" t="s">
        <v>42</v>
      </c>
      <c r="G161" s="1" t="s">
        <v>69</v>
      </c>
      <c r="H161" s="5">
        <v>19</v>
      </c>
      <c r="I161" s="6">
        <v>0</v>
      </c>
      <c r="J161" s="6">
        <v>0</v>
      </c>
      <c r="K161" s="6">
        <f t="shared" si="8"/>
        <v>0</v>
      </c>
      <c r="L161" s="1" t="s">
        <v>18</v>
      </c>
      <c r="M161" s="1" t="s">
        <v>433</v>
      </c>
      <c r="N161" s="1" t="s">
        <v>27</v>
      </c>
      <c r="O161" s="1" t="s">
        <v>44</v>
      </c>
      <c r="P161" s="4">
        <v>10.52</v>
      </c>
      <c r="Q161" s="4">
        <v>7.44</v>
      </c>
    </row>
    <row r="162" spans="1:17" x14ac:dyDescent="0.25">
      <c r="A162" s="1" t="s">
        <v>351</v>
      </c>
      <c r="B162" s="2">
        <v>44934</v>
      </c>
      <c r="C162" s="3" t="str">
        <f t="shared" si="6"/>
        <v>Jan</v>
      </c>
      <c r="D162" s="3" t="str">
        <f t="shared" si="7"/>
        <v>2023</v>
      </c>
      <c r="E162" s="1" t="s">
        <v>23</v>
      </c>
      <c r="F162" s="1" t="s">
        <v>24</v>
      </c>
      <c r="G162" s="1" t="s">
        <v>17</v>
      </c>
      <c r="H162" s="5">
        <v>29</v>
      </c>
      <c r="I162" s="6">
        <v>0</v>
      </c>
      <c r="J162" s="6">
        <v>49108899</v>
      </c>
      <c r="K162" s="6">
        <f t="shared" si="8"/>
        <v>-49108899</v>
      </c>
      <c r="L162" s="1" t="s">
        <v>18</v>
      </c>
      <c r="M162" s="1" t="s">
        <v>433</v>
      </c>
      <c r="N162" s="1" t="s">
        <v>34</v>
      </c>
      <c r="O162" s="1" t="s">
        <v>44</v>
      </c>
      <c r="P162" s="4">
        <v>5.7</v>
      </c>
      <c r="Q162" s="4">
        <v>5.9</v>
      </c>
    </row>
    <row r="163" spans="1:17" x14ac:dyDescent="0.25">
      <c r="A163" s="1" t="s">
        <v>353</v>
      </c>
      <c r="B163" s="2">
        <v>44997</v>
      </c>
      <c r="C163" s="3" t="str">
        <f t="shared" si="6"/>
        <v>Mar</v>
      </c>
      <c r="D163" s="3" t="str">
        <f t="shared" si="7"/>
        <v>2023</v>
      </c>
      <c r="E163" s="1" t="s">
        <v>64</v>
      </c>
      <c r="F163" s="1" t="s">
        <v>42</v>
      </c>
      <c r="G163" s="1" t="s">
        <v>69</v>
      </c>
      <c r="H163" s="5">
        <v>1</v>
      </c>
      <c r="I163" s="6">
        <v>18781160</v>
      </c>
      <c r="J163" s="6">
        <v>0</v>
      </c>
      <c r="K163" s="6">
        <f t="shared" si="8"/>
        <v>18781160</v>
      </c>
      <c r="L163" s="1" t="s">
        <v>33</v>
      </c>
      <c r="M163" s="1" t="s">
        <v>435</v>
      </c>
      <c r="N163" s="1" t="s">
        <v>34</v>
      </c>
      <c r="O163" s="1" t="s">
        <v>20</v>
      </c>
      <c r="P163" s="4">
        <v>12</v>
      </c>
      <c r="Q163" s="4">
        <v>8.52</v>
      </c>
    </row>
    <row r="164" spans="1:17" x14ac:dyDescent="0.25">
      <c r="A164" s="1" t="s">
        <v>355</v>
      </c>
      <c r="B164" s="2">
        <v>45242</v>
      </c>
      <c r="C164" s="3" t="str">
        <f t="shared" si="6"/>
        <v>Nov</v>
      </c>
      <c r="D164" s="3" t="str">
        <f t="shared" si="7"/>
        <v>2023</v>
      </c>
      <c r="E164" s="1" t="s">
        <v>52</v>
      </c>
      <c r="F164" s="1" t="s">
        <v>42</v>
      </c>
      <c r="G164" s="1" t="s">
        <v>49</v>
      </c>
      <c r="H164" s="5">
        <v>18</v>
      </c>
      <c r="I164" s="6">
        <v>82345183</v>
      </c>
      <c r="J164" s="6">
        <v>0</v>
      </c>
      <c r="K164" s="6">
        <f t="shared" si="8"/>
        <v>82345183</v>
      </c>
      <c r="L164" s="1" t="s">
        <v>33</v>
      </c>
      <c r="M164" s="1" t="s">
        <v>435</v>
      </c>
      <c r="N164" s="1" t="s">
        <v>34</v>
      </c>
      <c r="O164" s="1" t="s">
        <v>20</v>
      </c>
      <c r="P164" s="4">
        <v>12.99</v>
      </c>
      <c r="Q164" s="4">
        <v>7.6</v>
      </c>
    </row>
    <row r="165" spans="1:17" x14ac:dyDescent="0.25">
      <c r="A165" s="1" t="s">
        <v>357</v>
      </c>
      <c r="B165" s="2">
        <v>45296</v>
      </c>
      <c r="C165" s="3" t="str">
        <f t="shared" si="6"/>
        <v>Jan</v>
      </c>
      <c r="D165" s="3" t="str">
        <f t="shared" si="7"/>
        <v>2024</v>
      </c>
      <c r="E165" s="1" t="s">
        <v>37</v>
      </c>
      <c r="F165" s="1" t="s">
        <v>24</v>
      </c>
      <c r="G165" s="1" t="s">
        <v>49</v>
      </c>
      <c r="H165" s="5">
        <v>23</v>
      </c>
      <c r="I165" s="6">
        <v>0</v>
      </c>
      <c r="J165" s="6">
        <v>77323347</v>
      </c>
      <c r="K165" s="6">
        <f t="shared" si="8"/>
        <v>-77323347</v>
      </c>
      <c r="L165" s="1" t="s">
        <v>18</v>
      </c>
      <c r="M165" s="1" t="s">
        <v>433</v>
      </c>
      <c r="N165" s="1" t="s">
        <v>34</v>
      </c>
      <c r="O165" s="1" t="s">
        <v>20</v>
      </c>
      <c r="P165" s="4">
        <v>4.75</v>
      </c>
      <c r="Q165" s="4">
        <v>7.01</v>
      </c>
    </row>
    <row r="166" spans="1:17" x14ac:dyDescent="0.25">
      <c r="A166" s="1" t="s">
        <v>358</v>
      </c>
      <c r="B166" s="2">
        <v>45052</v>
      </c>
      <c r="C166" s="3" t="str">
        <f t="shared" si="6"/>
        <v>May</v>
      </c>
      <c r="D166" s="3" t="str">
        <f t="shared" si="7"/>
        <v>2023</v>
      </c>
      <c r="E166" s="1" t="s">
        <v>30</v>
      </c>
      <c r="F166" s="1" t="s">
        <v>31</v>
      </c>
      <c r="G166" s="1" t="s">
        <v>49</v>
      </c>
      <c r="H166" s="5">
        <v>16</v>
      </c>
      <c r="I166" s="6">
        <v>0</v>
      </c>
      <c r="J166" s="6">
        <v>40489202</v>
      </c>
      <c r="K166" s="6">
        <f t="shared" si="8"/>
        <v>-40489202</v>
      </c>
      <c r="L166" s="1" t="s">
        <v>18</v>
      </c>
      <c r="M166" s="1" t="s">
        <v>433</v>
      </c>
      <c r="N166" s="1" t="s">
        <v>27</v>
      </c>
      <c r="O166" s="1" t="s">
        <v>20</v>
      </c>
      <c r="P166" s="4">
        <v>7.73</v>
      </c>
      <c r="Q166" s="4">
        <v>8.5399999999999991</v>
      </c>
    </row>
    <row r="167" spans="1:17" x14ac:dyDescent="0.25">
      <c r="A167" s="1" t="s">
        <v>359</v>
      </c>
      <c r="B167" s="2">
        <v>45151</v>
      </c>
      <c r="C167" s="3" t="str">
        <f t="shared" si="6"/>
        <v>Aug</v>
      </c>
      <c r="D167" s="3" t="str">
        <f t="shared" si="7"/>
        <v>2023</v>
      </c>
      <c r="E167" s="1" t="s">
        <v>52</v>
      </c>
      <c r="F167" s="1" t="s">
        <v>42</v>
      </c>
      <c r="G167" s="1" t="s">
        <v>32</v>
      </c>
      <c r="H167" s="5">
        <v>20</v>
      </c>
      <c r="I167" s="6">
        <v>35249585</v>
      </c>
      <c r="J167" s="6">
        <v>0</v>
      </c>
      <c r="K167" s="6">
        <f t="shared" si="8"/>
        <v>35249585</v>
      </c>
      <c r="L167" s="1" t="s">
        <v>26</v>
      </c>
      <c r="M167" s="1" t="s">
        <v>434</v>
      </c>
      <c r="N167" s="1" t="s">
        <v>34</v>
      </c>
      <c r="O167" s="1" t="s">
        <v>44</v>
      </c>
      <c r="P167" s="4">
        <v>12.99</v>
      </c>
      <c r="Q167" s="4">
        <v>7.6</v>
      </c>
    </row>
    <row r="168" spans="1:17" x14ac:dyDescent="0.25">
      <c r="A168" s="1" t="s">
        <v>360</v>
      </c>
      <c r="B168" s="2">
        <v>45006</v>
      </c>
      <c r="C168" s="3" t="str">
        <f t="shared" si="6"/>
        <v>Mar</v>
      </c>
      <c r="D168" s="3" t="str">
        <f t="shared" si="7"/>
        <v>2023</v>
      </c>
      <c r="E168" s="1" t="s">
        <v>67</v>
      </c>
      <c r="F168" s="1" t="s">
        <v>68</v>
      </c>
      <c r="G168" s="1" t="s">
        <v>57</v>
      </c>
      <c r="H168" s="5">
        <v>39</v>
      </c>
      <c r="I168" s="6">
        <v>137115873</v>
      </c>
      <c r="J168" s="6">
        <v>79313286</v>
      </c>
      <c r="K168" s="6">
        <f t="shared" si="8"/>
        <v>57802587</v>
      </c>
      <c r="L168" s="1" t="s">
        <v>26</v>
      </c>
      <c r="M168" s="1" t="s">
        <v>434</v>
      </c>
      <c r="N168" s="1" t="s">
        <v>19</v>
      </c>
      <c r="O168" s="1" t="s">
        <v>20</v>
      </c>
      <c r="P168" s="4">
        <v>11.83</v>
      </c>
      <c r="Q168" s="4">
        <v>13.15</v>
      </c>
    </row>
    <row r="169" spans="1:17" x14ac:dyDescent="0.25">
      <c r="A169" s="1" t="s">
        <v>362</v>
      </c>
      <c r="B169" s="2">
        <v>44986</v>
      </c>
      <c r="C169" s="3" t="str">
        <f t="shared" si="6"/>
        <v>Mar</v>
      </c>
      <c r="D169" s="3" t="str">
        <f t="shared" si="7"/>
        <v>2023</v>
      </c>
      <c r="E169" s="1" t="s">
        <v>41</v>
      </c>
      <c r="F169" s="1" t="s">
        <v>42</v>
      </c>
      <c r="G169" s="1" t="s">
        <v>43</v>
      </c>
      <c r="H169" s="5">
        <v>21</v>
      </c>
      <c r="I169" s="6">
        <v>0</v>
      </c>
      <c r="J169" s="6">
        <v>0</v>
      </c>
      <c r="K169" s="6">
        <f t="shared" si="8"/>
        <v>0</v>
      </c>
      <c r="L169" s="1" t="s">
        <v>90</v>
      </c>
      <c r="M169" s="1" t="s">
        <v>435</v>
      </c>
      <c r="N169" s="1" t="s">
        <v>38</v>
      </c>
      <c r="O169" s="1" t="s">
        <v>20</v>
      </c>
      <c r="P169" s="4">
        <v>10.52</v>
      </c>
      <c r="Q169" s="4">
        <v>7.44</v>
      </c>
    </row>
    <row r="170" spans="1:17" x14ac:dyDescent="0.25">
      <c r="A170" s="1" t="s">
        <v>364</v>
      </c>
      <c r="B170" s="2">
        <v>44935</v>
      </c>
      <c r="C170" s="3" t="str">
        <f t="shared" si="6"/>
        <v>Jan</v>
      </c>
      <c r="D170" s="3" t="str">
        <f t="shared" si="7"/>
        <v>2023</v>
      </c>
      <c r="E170" s="1" t="s">
        <v>64</v>
      </c>
      <c r="F170" s="1" t="s">
        <v>42</v>
      </c>
      <c r="G170" s="1" t="s">
        <v>69</v>
      </c>
      <c r="H170" s="5">
        <v>8</v>
      </c>
      <c r="I170" s="6">
        <v>0</v>
      </c>
      <c r="J170" s="6">
        <v>0</v>
      </c>
      <c r="K170" s="6">
        <f t="shared" si="8"/>
        <v>0</v>
      </c>
      <c r="L170" s="1" t="s">
        <v>26</v>
      </c>
      <c r="M170" s="1" t="s">
        <v>434</v>
      </c>
      <c r="N170" s="1" t="s">
        <v>34</v>
      </c>
      <c r="O170" s="1" t="s">
        <v>20</v>
      </c>
      <c r="P170" s="4">
        <v>12</v>
      </c>
      <c r="Q170" s="4">
        <v>8.52</v>
      </c>
    </row>
    <row r="171" spans="1:17" x14ac:dyDescent="0.25">
      <c r="A171" s="1" t="s">
        <v>366</v>
      </c>
      <c r="B171" s="2">
        <v>45414</v>
      </c>
      <c r="C171" s="3" t="str">
        <f t="shared" si="6"/>
        <v>May</v>
      </c>
      <c r="D171" s="3" t="str">
        <f t="shared" si="7"/>
        <v>2024</v>
      </c>
      <c r="E171" s="1" t="s">
        <v>60</v>
      </c>
      <c r="F171" s="1" t="s">
        <v>61</v>
      </c>
      <c r="G171" s="1" t="s">
        <v>57</v>
      </c>
      <c r="H171" s="5">
        <v>8</v>
      </c>
      <c r="I171" s="6">
        <v>0</v>
      </c>
      <c r="J171" s="6">
        <v>0</v>
      </c>
      <c r="K171" s="6">
        <f t="shared" si="8"/>
        <v>0</v>
      </c>
      <c r="L171" s="1" t="s">
        <v>33</v>
      </c>
      <c r="M171" s="1" t="s">
        <v>435</v>
      </c>
      <c r="N171" s="1" t="s">
        <v>34</v>
      </c>
      <c r="O171" s="1" t="s">
        <v>20</v>
      </c>
      <c r="P171" s="4">
        <v>7.38</v>
      </c>
      <c r="Q171" s="4">
        <v>3.93</v>
      </c>
    </row>
    <row r="172" spans="1:17" x14ac:dyDescent="0.25">
      <c r="A172" s="1" t="s">
        <v>368</v>
      </c>
      <c r="B172" s="2">
        <v>45273</v>
      </c>
      <c r="C172" s="3" t="str">
        <f t="shared" si="6"/>
        <v>Dec</v>
      </c>
      <c r="D172" s="3" t="str">
        <f t="shared" si="7"/>
        <v>2023</v>
      </c>
      <c r="E172" s="1" t="s">
        <v>52</v>
      </c>
      <c r="F172" s="1" t="s">
        <v>42</v>
      </c>
      <c r="G172" s="1" t="s">
        <v>32</v>
      </c>
      <c r="H172" s="5">
        <v>39</v>
      </c>
      <c r="I172" s="6">
        <v>0</v>
      </c>
      <c r="J172" s="6">
        <v>0</v>
      </c>
      <c r="K172" s="6">
        <f t="shared" si="8"/>
        <v>0</v>
      </c>
      <c r="L172" s="1" t="s">
        <v>26</v>
      </c>
      <c r="M172" s="1" t="s">
        <v>434</v>
      </c>
      <c r="N172" s="1" t="s">
        <v>19</v>
      </c>
      <c r="O172" s="1" t="s">
        <v>20</v>
      </c>
      <c r="P172" s="4">
        <v>12.99</v>
      </c>
      <c r="Q172" s="4">
        <v>7.6</v>
      </c>
    </row>
    <row r="173" spans="1:17" x14ac:dyDescent="0.25">
      <c r="A173" s="1" t="s">
        <v>370</v>
      </c>
      <c r="B173" s="2">
        <v>45143</v>
      </c>
      <c r="C173" s="3" t="str">
        <f t="shared" si="6"/>
        <v>Aug</v>
      </c>
      <c r="D173" s="3" t="str">
        <f t="shared" si="7"/>
        <v>2023</v>
      </c>
      <c r="E173" s="1" t="s">
        <v>23</v>
      </c>
      <c r="F173" s="1" t="s">
        <v>24</v>
      </c>
      <c r="G173" s="1" t="s">
        <v>17</v>
      </c>
      <c r="H173" s="5">
        <v>20</v>
      </c>
      <c r="I173" s="6">
        <v>70344331</v>
      </c>
      <c r="J173" s="6">
        <v>0</v>
      </c>
      <c r="K173" s="6">
        <f t="shared" si="8"/>
        <v>70344331</v>
      </c>
      <c r="L173" s="1" t="s">
        <v>33</v>
      </c>
      <c r="M173" s="1" t="s">
        <v>435</v>
      </c>
      <c r="N173" s="1" t="s">
        <v>27</v>
      </c>
      <c r="O173" s="1" t="s">
        <v>44</v>
      </c>
      <c r="P173" s="4">
        <v>5.7</v>
      </c>
      <c r="Q173" s="4">
        <v>5.9</v>
      </c>
    </row>
    <row r="174" spans="1:17" x14ac:dyDescent="0.25">
      <c r="A174" s="1" t="s">
        <v>372</v>
      </c>
      <c r="B174" s="2">
        <v>45196</v>
      </c>
      <c r="C174" s="3" t="str">
        <f t="shared" si="6"/>
        <v>Sep</v>
      </c>
      <c r="D174" s="3" t="str">
        <f t="shared" si="7"/>
        <v>2023</v>
      </c>
      <c r="E174" s="1" t="s">
        <v>37</v>
      </c>
      <c r="F174" s="1" t="s">
        <v>24</v>
      </c>
      <c r="G174" s="1" t="s">
        <v>69</v>
      </c>
      <c r="H174" s="5">
        <v>23</v>
      </c>
      <c r="I174" s="6">
        <v>0</v>
      </c>
      <c r="J174" s="6">
        <v>65790798</v>
      </c>
      <c r="K174" s="6">
        <f t="shared" si="8"/>
        <v>-65790798</v>
      </c>
      <c r="L174" s="1" t="s">
        <v>26</v>
      </c>
      <c r="M174" s="1" t="s">
        <v>434</v>
      </c>
      <c r="N174" s="1" t="s">
        <v>38</v>
      </c>
      <c r="O174" s="1" t="s">
        <v>20</v>
      </c>
      <c r="P174" s="4">
        <v>4.75</v>
      </c>
      <c r="Q174" s="4">
        <v>7.01</v>
      </c>
    </row>
    <row r="175" spans="1:17" x14ac:dyDescent="0.25">
      <c r="A175" s="1" t="s">
        <v>373</v>
      </c>
      <c r="B175" s="2">
        <v>45255</v>
      </c>
      <c r="C175" s="3" t="str">
        <f t="shared" si="6"/>
        <v>Nov</v>
      </c>
      <c r="D175" s="3" t="str">
        <f t="shared" si="7"/>
        <v>2023</v>
      </c>
      <c r="E175" s="1" t="s">
        <v>77</v>
      </c>
      <c r="F175" s="1" t="s">
        <v>31</v>
      </c>
      <c r="G175" s="1" t="s">
        <v>43</v>
      </c>
      <c r="H175" s="5">
        <v>22</v>
      </c>
      <c r="I175" s="6">
        <v>0</v>
      </c>
      <c r="J175" s="6">
        <v>0</v>
      </c>
      <c r="K175" s="6">
        <f t="shared" si="8"/>
        <v>0</v>
      </c>
      <c r="L175" s="1" t="s">
        <v>26</v>
      </c>
      <c r="M175" s="1" t="s">
        <v>434</v>
      </c>
      <c r="N175" s="1" t="s">
        <v>19</v>
      </c>
      <c r="O175" s="1" t="s">
        <v>20</v>
      </c>
      <c r="P175" s="4">
        <v>9.07</v>
      </c>
      <c r="Q175" s="4">
        <v>7.49</v>
      </c>
    </row>
    <row r="176" spans="1:17" x14ac:dyDescent="0.25">
      <c r="A176" s="1" t="s">
        <v>375</v>
      </c>
      <c r="B176" s="2">
        <v>44977</v>
      </c>
      <c r="C176" s="3" t="str">
        <f t="shared" si="6"/>
        <v>Feb</v>
      </c>
      <c r="D176" s="3" t="str">
        <f t="shared" si="7"/>
        <v>2023</v>
      </c>
      <c r="E176" s="1" t="s">
        <v>84</v>
      </c>
      <c r="F176" s="1" t="s">
        <v>42</v>
      </c>
      <c r="G176" s="1" t="s">
        <v>49</v>
      </c>
      <c r="H176" s="5">
        <v>29</v>
      </c>
      <c r="I176" s="6">
        <v>134627793</v>
      </c>
      <c r="J176" s="6">
        <v>0</v>
      </c>
      <c r="K176" s="6">
        <f t="shared" si="8"/>
        <v>134627793</v>
      </c>
      <c r="L176" s="1" t="s">
        <v>33</v>
      </c>
      <c r="M176" s="1" t="s">
        <v>435</v>
      </c>
      <c r="N176" s="1" t="s">
        <v>19</v>
      </c>
      <c r="O176" s="1" t="s">
        <v>44</v>
      </c>
      <c r="P176" s="4">
        <v>12.17</v>
      </c>
      <c r="Q176" s="4">
        <v>6.66</v>
      </c>
    </row>
    <row r="177" spans="1:17" x14ac:dyDescent="0.25">
      <c r="A177" s="1" t="s">
        <v>377</v>
      </c>
      <c r="B177" s="2">
        <v>45173</v>
      </c>
      <c r="C177" s="3" t="str">
        <f t="shared" si="6"/>
        <v>Sep</v>
      </c>
      <c r="D177" s="3" t="str">
        <f t="shared" si="7"/>
        <v>2023</v>
      </c>
      <c r="E177" s="1" t="s">
        <v>84</v>
      </c>
      <c r="F177" s="1" t="s">
        <v>42</v>
      </c>
      <c r="G177" s="1" t="s">
        <v>57</v>
      </c>
      <c r="H177" s="5">
        <v>31</v>
      </c>
      <c r="I177" s="6">
        <v>73478224</v>
      </c>
      <c r="J177" s="6">
        <v>0</v>
      </c>
      <c r="K177" s="6">
        <f t="shared" si="8"/>
        <v>73478224</v>
      </c>
      <c r="L177" s="1" t="s">
        <v>33</v>
      </c>
      <c r="M177" s="1" t="s">
        <v>435</v>
      </c>
      <c r="N177" s="1" t="s">
        <v>34</v>
      </c>
      <c r="O177" s="1" t="s">
        <v>20</v>
      </c>
      <c r="P177" s="4">
        <v>12.17</v>
      </c>
      <c r="Q177" s="4">
        <v>6.66</v>
      </c>
    </row>
    <row r="178" spans="1:17" x14ac:dyDescent="0.25">
      <c r="A178" s="1" t="s">
        <v>379</v>
      </c>
      <c r="B178" s="2">
        <v>45136</v>
      </c>
      <c r="C178" s="3" t="str">
        <f t="shared" si="6"/>
        <v>Jul</v>
      </c>
      <c r="D178" s="3" t="str">
        <f t="shared" si="7"/>
        <v>2023</v>
      </c>
      <c r="E178" s="1" t="s">
        <v>15</v>
      </c>
      <c r="F178" s="1" t="s">
        <v>16</v>
      </c>
      <c r="G178" s="1" t="s">
        <v>57</v>
      </c>
      <c r="H178" s="5">
        <v>16</v>
      </c>
      <c r="I178" s="6">
        <v>0</v>
      </c>
      <c r="J178" s="6">
        <v>0</v>
      </c>
      <c r="K178" s="6">
        <f t="shared" si="8"/>
        <v>0</v>
      </c>
      <c r="L178" s="1" t="s">
        <v>18</v>
      </c>
      <c r="M178" s="1" t="s">
        <v>433</v>
      </c>
      <c r="N178" s="1" t="s">
        <v>19</v>
      </c>
      <c r="O178" s="1" t="s">
        <v>20</v>
      </c>
      <c r="P178" s="4">
        <v>6.21</v>
      </c>
      <c r="Q178" s="4">
        <v>7.07</v>
      </c>
    </row>
    <row r="179" spans="1:17" x14ac:dyDescent="0.25">
      <c r="A179" s="1" t="s">
        <v>381</v>
      </c>
      <c r="B179" s="2">
        <v>45259</v>
      </c>
      <c r="C179" s="3" t="str">
        <f t="shared" si="6"/>
        <v>Nov</v>
      </c>
      <c r="D179" s="3" t="str">
        <f t="shared" si="7"/>
        <v>2023</v>
      </c>
      <c r="E179" s="1" t="s">
        <v>72</v>
      </c>
      <c r="F179" s="1" t="s">
        <v>61</v>
      </c>
      <c r="G179" s="1" t="s">
        <v>25</v>
      </c>
      <c r="H179" s="5">
        <v>12</v>
      </c>
      <c r="I179" s="6">
        <v>134503021</v>
      </c>
      <c r="J179" s="6">
        <v>0</v>
      </c>
      <c r="K179" s="6">
        <f t="shared" si="8"/>
        <v>134503021</v>
      </c>
      <c r="L179" s="1" t="s">
        <v>90</v>
      </c>
      <c r="M179" s="1" t="s">
        <v>435</v>
      </c>
      <c r="N179" s="1" t="s">
        <v>34</v>
      </c>
      <c r="O179" s="1" t="s">
        <v>20</v>
      </c>
      <c r="P179" s="4">
        <v>6.9</v>
      </c>
      <c r="Q179" s="4">
        <v>3.3</v>
      </c>
    </row>
    <row r="180" spans="1:17" x14ac:dyDescent="0.25">
      <c r="A180" s="1" t="s">
        <v>382</v>
      </c>
      <c r="B180" s="2">
        <v>45266</v>
      </c>
      <c r="C180" s="3" t="str">
        <f t="shared" si="6"/>
        <v>Dec</v>
      </c>
      <c r="D180" s="3" t="str">
        <f t="shared" si="7"/>
        <v>2023</v>
      </c>
      <c r="E180" s="1" t="s">
        <v>84</v>
      </c>
      <c r="F180" s="1" t="s">
        <v>42</v>
      </c>
      <c r="G180" s="1" t="s">
        <v>25</v>
      </c>
      <c r="H180" s="5">
        <v>9</v>
      </c>
      <c r="I180" s="6">
        <v>0</v>
      </c>
      <c r="J180" s="6">
        <v>0</v>
      </c>
      <c r="K180" s="6">
        <f t="shared" si="8"/>
        <v>0</v>
      </c>
      <c r="L180" s="1" t="s">
        <v>90</v>
      </c>
      <c r="M180" s="1" t="s">
        <v>435</v>
      </c>
      <c r="N180" s="1" t="s">
        <v>38</v>
      </c>
      <c r="O180" s="1" t="s">
        <v>44</v>
      </c>
      <c r="P180" s="4">
        <v>12.17</v>
      </c>
      <c r="Q180" s="4">
        <v>6.66</v>
      </c>
    </row>
    <row r="181" spans="1:17" x14ac:dyDescent="0.25">
      <c r="A181" s="1" t="s">
        <v>384</v>
      </c>
      <c r="B181" s="2">
        <v>45349</v>
      </c>
      <c r="C181" s="3" t="str">
        <f t="shared" si="6"/>
        <v>Feb</v>
      </c>
      <c r="D181" s="3" t="str">
        <f t="shared" si="7"/>
        <v>2024</v>
      </c>
      <c r="E181" s="1" t="s">
        <v>15</v>
      </c>
      <c r="F181" s="1" t="s">
        <v>16</v>
      </c>
      <c r="G181" s="1" t="s">
        <v>32</v>
      </c>
      <c r="H181" s="5">
        <v>27</v>
      </c>
      <c r="I181" s="6">
        <v>0</v>
      </c>
      <c r="J181" s="6">
        <v>36989778</v>
      </c>
      <c r="K181" s="6">
        <f t="shared" si="8"/>
        <v>-36989778</v>
      </c>
      <c r="L181" s="1" t="s">
        <v>90</v>
      </c>
      <c r="M181" s="1" t="s">
        <v>435</v>
      </c>
      <c r="N181" s="1" t="s">
        <v>38</v>
      </c>
      <c r="O181" s="1" t="s">
        <v>20</v>
      </c>
      <c r="P181" s="4">
        <v>6.21</v>
      </c>
      <c r="Q181" s="4">
        <v>7.07</v>
      </c>
    </row>
    <row r="182" spans="1:17" x14ac:dyDescent="0.25">
      <c r="A182" s="1" t="s">
        <v>385</v>
      </c>
      <c r="B182" s="2">
        <v>45201</v>
      </c>
      <c r="C182" s="3" t="str">
        <f t="shared" si="6"/>
        <v>Oct</v>
      </c>
      <c r="D182" s="3" t="str">
        <f t="shared" si="7"/>
        <v>2023</v>
      </c>
      <c r="E182" s="1" t="s">
        <v>15</v>
      </c>
      <c r="F182" s="1" t="s">
        <v>16</v>
      </c>
      <c r="G182" s="1" t="s">
        <v>17</v>
      </c>
      <c r="H182" s="5">
        <v>17</v>
      </c>
      <c r="I182" s="6">
        <v>116825347</v>
      </c>
      <c r="J182" s="6">
        <v>0</v>
      </c>
      <c r="K182" s="6">
        <f t="shared" si="8"/>
        <v>116825347</v>
      </c>
      <c r="L182" s="1" t="s">
        <v>33</v>
      </c>
      <c r="M182" s="1" t="s">
        <v>435</v>
      </c>
      <c r="N182" s="1" t="s">
        <v>27</v>
      </c>
      <c r="O182" s="1" t="s">
        <v>44</v>
      </c>
      <c r="P182" s="4">
        <v>6.21</v>
      </c>
      <c r="Q182" s="4">
        <v>7.07</v>
      </c>
    </row>
    <row r="183" spans="1:17" x14ac:dyDescent="0.25">
      <c r="A183" s="1" t="s">
        <v>387</v>
      </c>
      <c r="B183" s="2">
        <v>45367</v>
      </c>
      <c r="C183" s="3" t="str">
        <f t="shared" si="6"/>
        <v>Mar</v>
      </c>
      <c r="D183" s="3" t="str">
        <f t="shared" si="7"/>
        <v>2024</v>
      </c>
      <c r="E183" s="1" t="s">
        <v>87</v>
      </c>
      <c r="F183" s="1" t="s">
        <v>61</v>
      </c>
      <c r="G183" s="1" t="s">
        <v>25</v>
      </c>
      <c r="H183" s="5">
        <v>31</v>
      </c>
      <c r="I183" s="6">
        <v>144315130</v>
      </c>
      <c r="J183" s="6">
        <v>10059226</v>
      </c>
      <c r="K183" s="6">
        <f t="shared" si="8"/>
        <v>134255904</v>
      </c>
      <c r="L183" s="1" t="s">
        <v>26</v>
      </c>
      <c r="M183" s="1" t="s">
        <v>434</v>
      </c>
      <c r="N183" s="1" t="s">
        <v>19</v>
      </c>
      <c r="O183" s="1" t="s">
        <v>44</v>
      </c>
      <c r="P183" s="4">
        <v>6.52</v>
      </c>
      <c r="Q183" s="4">
        <v>3.37</v>
      </c>
    </row>
    <row r="184" spans="1:17" x14ac:dyDescent="0.25">
      <c r="A184" s="1" t="s">
        <v>388</v>
      </c>
      <c r="B184" s="2">
        <v>44997</v>
      </c>
      <c r="C184" s="3" t="str">
        <f t="shared" si="6"/>
        <v>Mar</v>
      </c>
      <c r="D184" s="3" t="str">
        <f t="shared" si="7"/>
        <v>2023</v>
      </c>
      <c r="E184" s="1" t="s">
        <v>37</v>
      </c>
      <c r="F184" s="1" t="s">
        <v>24</v>
      </c>
      <c r="G184" s="1" t="s">
        <v>69</v>
      </c>
      <c r="H184" s="5">
        <v>27</v>
      </c>
      <c r="I184" s="6">
        <v>0</v>
      </c>
      <c r="J184" s="6">
        <v>0</v>
      </c>
      <c r="K184" s="6">
        <f t="shared" si="8"/>
        <v>0</v>
      </c>
      <c r="L184" s="1" t="s">
        <v>18</v>
      </c>
      <c r="M184" s="1" t="s">
        <v>433</v>
      </c>
      <c r="N184" s="1" t="s">
        <v>19</v>
      </c>
      <c r="O184" s="1" t="s">
        <v>20</v>
      </c>
      <c r="P184" s="4">
        <v>4.75</v>
      </c>
      <c r="Q184" s="4">
        <v>7.01</v>
      </c>
    </row>
    <row r="185" spans="1:17" x14ac:dyDescent="0.25">
      <c r="A185" s="1" t="s">
        <v>389</v>
      </c>
      <c r="B185" s="2">
        <v>45164</v>
      </c>
      <c r="C185" s="3" t="str">
        <f t="shared" si="6"/>
        <v>Aug</v>
      </c>
      <c r="D185" s="3" t="str">
        <f t="shared" si="7"/>
        <v>2023</v>
      </c>
      <c r="E185" s="1" t="s">
        <v>64</v>
      </c>
      <c r="F185" s="1" t="s">
        <v>42</v>
      </c>
      <c r="G185" s="1" t="s">
        <v>69</v>
      </c>
      <c r="H185" s="5">
        <v>29</v>
      </c>
      <c r="I185" s="6">
        <v>0</v>
      </c>
      <c r="J185" s="6">
        <v>0</v>
      </c>
      <c r="K185" s="6">
        <f t="shared" si="8"/>
        <v>0</v>
      </c>
      <c r="L185" s="1" t="s">
        <v>26</v>
      </c>
      <c r="M185" s="1" t="s">
        <v>434</v>
      </c>
      <c r="N185" s="1" t="s">
        <v>27</v>
      </c>
      <c r="O185" s="1" t="s">
        <v>20</v>
      </c>
      <c r="P185" s="4">
        <v>12</v>
      </c>
      <c r="Q185" s="4">
        <v>8.52</v>
      </c>
    </row>
    <row r="186" spans="1:17" x14ac:dyDescent="0.25">
      <c r="A186" s="1" t="s">
        <v>391</v>
      </c>
      <c r="B186" s="2">
        <v>45375</v>
      </c>
      <c r="C186" s="3" t="str">
        <f t="shared" si="6"/>
        <v>Mar</v>
      </c>
      <c r="D186" s="3" t="str">
        <f t="shared" si="7"/>
        <v>2024</v>
      </c>
      <c r="E186" s="1" t="s">
        <v>15</v>
      </c>
      <c r="F186" s="1" t="s">
        <v>16</v>
      </c>
      <c r="G186" s="1" t="s">
        <v>32</v>
      </c>
      <c r="H186" s="5">
        <v>9</v>
      </c>
      <c r="I186" s="6">
        <v>146174916</v>
      </c>
      <c r="J186" s="6">
        <v>0</v>
      </c>
      <c r="K186" s="6">
        <f t="shared" si="8"/>
        <v>146174916</v>
      </c>
      <c r="L186" s="1" t="s">
        <v>90</v>
      </c>
      <c r="M186" s="1" t="s">
        <v>435</v>
      </c>
      <c r="N186" s="1" t="s">
        <v>34</v>
      </c>
      <c r="O186" s="1" t="s">
        <v>44</v>
      </c>
      <c r="P186" s="4">
        <v>6.21</v>
      </c>
      <c r="Q186" s="4">
        <v>7.07</v>
      </c>
    </row>
    <row r="187" spans="1:17" x14ac:dyDescent="0.25">
      <c r="A187" s="1" t="s">
        <v>393</v>
      </c>
      <c r="B187" s="2">
        <v>44976</v>
      </c>
      <c r="C187" s="3" t="str">
        <f t="shared" si="6"/>
        <v>Feb</v>
      </c>
      <c r="D187" s="3" t="str">
        <f t="shared" si="7"/>
        <v>2023</v>
      </c>
      <c r="E187" s="1" t="s">
        <v>67</v>
      </c>
      <c r="F187" s="1" t="s">
        <v>68</v>
      </c>
      <c r="G187" s="1" t="s">
        <v>17</v>
      </c>
      <c r="H187" s="5">
        <v>30</v>
      </c>
      <c r="I187" s="6">
        <v>116897162</v>
      </c>
      <c r="J187" s="6">
        <v>0</v>
      </c>
      <c r="K187" s="6">
        <f t="shared" si="8"/>
        <v>116897162</v>
      </c>
      <c r="L187" s="1" t="s">
        <v>33</v>
      </c>
      <c r="M187" s="1" t="s">
        <v>435</v>
      </c>
      <c r="N187" s="1" t="s">
        <v>19</v>
      </c>
      <c r="O187" s="1" t="s">
        <v>44</v>
      </c>
      <c r="P187" s="4">
        <v>11.83</v>
      </c>
      <c r="Q187" s="4">
        <v>13.15</v>
      </c>
    </row>
    <row r="188" spans="1:17" x14ac:dyDescent="0.25">
      <c r="A188" s="1" t="s">
        <v>395</v>
      </c>
      <c r="B188" s="2">
        <v>45184</v>
      </c>
      <c r="C188" s="3" t="str">
        <f t="shared" si="6"/>
        <v>Sep</v>
      </c>
      <c r="D188" s="3" t="str">
        <f t="shared" si="7"/>
        <v>2023</v>
      </c>
      <c r="E188" s="1" t="s">
        <v>37</v>
      </c>
      <c r="F188" s="1" t="s">
        <v>24</v>
      </c>
      <c r="G188" s="1" t="s">
        <v>32</v>
      </c>
      <c r="H188" s="5">
        <v>26</v>
      </c>
      <c r="I188" s="6">
        <v>17821350</v>
      </c>
      <c r="J188" s="6">
        <v>64904546</v>
      </c>
      <c r="K188" s="6">
        <f t="shared" si="8"/>
        <v>-47083196</v>
      </c>
      <c r="L188" s="1" t="s">
        <v>90</v>
      </c>
      <c r="M188" s="1" t="s">
        <v>435</v>
      </c>
      <c r="N188" s="1" t="s">
        <v>19</v>
      </c>
      <c r="O188" s="1" t="s">
        <v>44</v>
      </c>
      <c r="P188" s="4">
        <v>4.75</v>
      </c>
      <c r="Q188" s="4">
        <v>7.01</v>
      </c>
    </row>
    <row r="189" spans="1:17" x14ac:dyDescent="0.25">
      <c r="A189" s="1" t="s">
        <v>397</v>
      </c>
      <c r="B189" s="2">
        <v>44997</v>
      </c>
      <c r="C189" s="3" t="str">
        <f t="shared" si="6"/>
        <v>Mar</v>
      </c>
      <c r="D189" s="3" t="str">
        <f t="shared" si="7"/>
        <v>2023</v>
      </c>
      <c r="E189" s="1" t="s">
        <v>30</v>
      </c>
      <c r="F189" s="1" t="s">
        <v>31</v>
      </c>
      <c r="G189" s="1" t="s">
        <v>57</v>
      </c>
      <c r="H189" s="5">
        <v>40</v>
      </c>
      <c r="I189" s="6">
        <v>0</v>
      </c>
      <c r="J189" s="6">
        <v>10528032</v>
      </c>
      <c r="K189" s="6">
        <f t="shared" si="8"/>
        <v>-10528032</v>
      </c>
      <c r="L189" s="1" t="s">
        <v>90</v>
      </c>
      <c r="M189" s="1" t="s">
        <v>435</v>
      </c>
      <c r="N189" s="1" t="s">
        <v>38</v>
      </c>
      <c r="O189" s="1" t="s">
        <v>44</v>
      </c>
      <c r="P189" s="4">
        <v>7.73</v>
      </c>
      <c r="Q189" s="4">
        <v>8.5399999999999991</v>
      </c>
    </row>
    <row r="190" spans="1:17" x14ac:dyDescent="0.25">
      <c r="A190" s="1" t="s">
        <v>398</v>
      </c>
      <c r="B190" s="2">
        <v>44944</v>
      </c>
      <c r="C190" s="3" t="str">
        <f t="shared" si="6"/>
        <v>Jan</v>
      </c>
      <c r="D190" s="3" t="str">
        <f t="shared" si="7"/>
        <v>2023</v>
      </c>
      <c r="E190" s="1" t="s">
        <v>67</v>
      </c>
      <c r="F190" s="1" t="s">
        <v>68</v>
      </c>
      <c r="G190" s="1" t="s">
        <v>25</v>
      </c>
      <c r="H190" s="5">
        <v>35</v>
      </c>
      <c r="I190" s="6">
        <v>11743618</v>
      </c>
      <c r="J190" s="6">
        <v>0</v>
      </c>
      <c r="K190" s="6">
        <f t="shared" si="8"/>
        <v>11743618</v>
      </c>
      <c r="L190" s="1" t="s">
        <v>26</v>
      </c>
      <c r="M190" s="1" t="s">
        <v>434</v>
      </c>
      <c r="N190" s="1" t="s">
        <v>27</v>
      </c>
      <c r="O190" s="1" t="s">
        <v>44</v>
      </c>
      <c r="P190" s="4">
        <v>11.83</v>
      </c>
      <c r="Q190" s="4">
        <v>13.15</v>
      </c>
    </row>
    <row r="191" spans="1:17" x14ac:dyDescent="0.25">
      <c r="A191" s="1" t="s">
        <v>399</v>
      </c>
      <c r="B191" s="2">
        <v>45349</v>
      </c>
      <c r="C191" s="3" t="str">
        <f t="shared" si="6"/>
        <v>Feb</v>
      </c>
      <c r="D191" s="3" t="str">
        <f t="shared" si="7"/>
        <v>2024</v>
      </c>
      <c r="E191" s="1" t="s">
        <v>84</v>
      </c>
      <c r="F191" s="1" t="s">
        <v>42</v>
      </c>
      <c r="G191" s="1" t="s">
        <v>25</v>
      </c>
      <c r="H191" s="5">
        <v>40</v>
      </c>
      <c r="I191" s="6">
        <v>20081604</v>
      </c>
      <c r="J191" s="6">
        <v>0</v>
      </c>
      <c r="K191" s="6">
        <f t="shared" si="8"/>
        <v>20081604</v>
      </c>
      <c r="L191" s="1" t="s">
        <v>33</v>
      </c>
      <c r="M191" s="1" t="s">
        <v>435</v>
      </c>
      <c r="N191" s="1" t="s">
        <v>38</v>
      </c>
      <c r="O191" s="1" t="s">
        <v>44</v>
      </c>
      <c r="P191" s="4">
        <v>12.17</v>
      </c>
      <c r="Q191" s="4">
        <v>6.66</v>
      </c>
    </row>
    <row r="192" spans="1:17" x14ac:dyDescent="0.25">
      <c r="A192" s="1" t="s">
        <v>400</v>
      </c>
      <c r="B192" s="2">
        <v>45033</v>
      </c>
      <c r="C192" s="3" t="str">
        <f t="shared" si="6"/>
        <v>Apr</v>
      </c>
      <c r="D192" s="3" t="str">
        <f t="shared" si="7"/>
        <v>2023</v>
      </c>
      <c r="E192" s="1" t="s">
        <v>77</v>
      </c>
      <c r="F192" s="1" t="s">
        <v>31</v>
      </c>
      <c r="G192" s="1" t="s">
        <v>17</v>
      </c>
      <c r="H192" s="5">
        <v>12</v>
      </c>
      <c r="I192" s="6">
        <v>0</v>
      </c>
      <c r="J192" s="6">
        <v>0</v>
      </c>
      <c r="K192" s="6">
        <f t="shared" si="8"/>
        <v>0</v>
      </c>
      <c r="L192" s="1" t="s">
        <v>33</v>
      </c>
      <c r="M192" s="1" t="s">
        <v>435</v>
      </c>
      <c r="N192" s="1" t="s">
        <v>34</v>
      </c>
      <c r="O192" s="1" t="s">
        <v>20</v>
      </c>
      <c r="P192" s="4">
        <v>9.07</v>
      </c>
      <c r="Q192" s="4">
        <v>7.49</v>
      </c>
    </row>
    <row r="193" spans="1:17" x14ac:dyDescent="0.25">
      <c r="A193" s="1" t="s">
        <v>402</v>
      </c>
      <c r="B193" s="2">
        <v>45212</v>
      </c>
      <c r="C193" s="3" t="str">
        <f t="shared" si="6"/>
        <v>Oct</v>
      </c>
      <c r="D193" s="3" t="str">
        <f t="shared" si="7"/>
        <v>2023</v>
      </c>
      <c r="E193" s="1" t="s">
        <v>52</v>
      </c>
      <c r="F193" s="1" t="s">
        <v>42</v>
      </c>
      <c r="G193" s="1" t="s">
        <v>32</v>
      </c>
      <c r="H193" s="5">
        <v>10</v>
      </c>
      <c r="I193" s="6">
        <v>0</v>
      </c>
      <c r="J193" s="6">
        <v>78900046</v>
      </c>
      <c r="K193" s="6">
        <f t="shared" si="8"/>
        <v>-78900046</v>
      </c>
      <c r="L193" s="1" t="s">
        <v>26</v>
      </c>
      <c r="M193" s="1" t="s">
        <v>434</v>
      </c>
      <c r="N193" s="1" t="s">
        <v>27</v>
      </c>
      <c r="O193" s="1" t="s">
        <v>20</v>
      </c>
      <c r="P193" s="4">
        <v>12.99</v>
      </c>
      <c r="Q193" s="4">
        <v>7.6</v>
      </c>
    </row>
    <row r="194" spans="1:17" x14ac:dyDescent="0.25">
      <c r="A194" s="1" t="s">
        <v>404</v>
      </c>
      <c r="B194" s="2">
        <v>45057</v>
      </c>
      <c r="C194" s="3" t="str">
        <f t="shared" si="6"/>
        <v>May</v>
      </c>
      <c r="D194" s="3" t="str">
        <f t="shared" si="7"/>
        <v>2023</v>
      </c>
      <c r="E194" s="1" t="s">
        <v>67</v>
      </c>
      <c r="F194" s="1" t="s">
        <v>68</v>
      </c>
      <c r="G194" s="1" t="s">
        <v>57</v>
      </c>
      <c r="H194" s="5">
        <v>37</v>
      </c>
      <c r="I194" s="6">
        <v>104511115</v>
      </c>
      <c r="J194" s="6">
        <v>88701613</v>
      </c>
      <c r="K194" s="6">
        <f t="shared" si="8"/>
        <v>15809502</v>
      </c>
      <c r="L194" s="1" t="s">
        <v>26</v>
      </c>
      <c r="M194" s="1" t="s">
        <v>434</v>
      </c>
      <c r="N194" s="1" t="s">
        <v>27</v>
      </c>
      <c r="O194" s="1" t="s">
        <v>44</v>
      </c>
      <c r="P194" s="4">
        <v>11.83</v>
      </c>
      <c r="Q194" s="4">
        <v>13.15</v>
      </c>
    </row>
    <row r="195" spans="1:17" x14ac:dyDescent="0.25">
      <c r="A195" s="1" t="s">
        <v>405</v>
      </c>
      <c r="B195" s="2">
        <v>45164</v>
      </c>
      <c r="C195" s="3" t="str">
        <f t="shared" ref="C195:C201" si="9">TEXT(B195,"mmm")</f>
        <v>Aug</v>
      </c>
      <c r="D195" s="3" t="str">
        <f t="shared" ref="D195:D201" si="10">TEXT(B195,"yyyy")</f>
        <v>2023</v>
      </c>
      <c r="E195" s="1" t="s">
        <v>84</v>
      </c>
      <c r="F195" s="1" t="s">
        <v>42</v>
      </c>
      <c r="G195" s="1" t="s">
        <v>49</v>
      </c>
      <c r="H195" s="5">
        <v>20</v>
      </c>
      <c r="I195" s="6">
        <v>0</v>
      </c>
      <c r="J195" s="6">
        <v>0</v>
      </c>
      <c r="K195" s="6">
        <f t="shared" ref="K195:K201" si="11">I195-J195</f>
        <v>0</v>
      </c>
      <c r="L195" s="1" t="s">
        <v>26</v>
      </c>
      <c r="M195" s="1" t="s">
        <v>434</v>
      </c>
      <c r="N195" s="1" t="s">
        <v>34</v>
      </c>
      <c r="O195" s="1" t="s">
        <v>44</v>
      </c>
      <c r="P195" s="4">
        <v>12.17</v>
      </c>
      <c r="Q195" s="4">
        <v>6.66</v>
      </c>
    </row>
    <row r="196" spans="1:17" x14ac:dyDescent="0.25">
      <c r="A196" s="1" t="s">
        <v>406</v>
      </c>
      <c r="B196" s="2">
        <v>45172</v>
      </c>
      <c r="C196" s="3" t="str">
        <f t="shared" si="9"/>
        <v>Sep</v>
      </c>
      <c r="D196" s="3" t="str">
        <f t="shared" si="10"/>
        <v>2023</v>
      </c>
      <c r="E196" s="1" t="s">
        <v>77</v>
      </c>
      <c r="F196" s="1" t="s">
        <v>31</v>
      </c>
      <c r="G196" s="1" t="s">
        <v>17</v>
      </c>
      <c r="H196" s="5">
        <v>26</v>
      </c>
      <c r="I196" s="6">
        <v>0</v>
      </c>
      <c r="J196" s="6">
        <v>0</v>
      </c>
      <c r="K196" s="6">
        <f t="shared" si="11"/>
        <v>0</v>
      </c>
      <c r="L196" s="1" t="s">
        <v>18</v>
      </c>
      <c r="M196" s="1" t="s">
        <v>433</v>
      </c>
      <c r="N196" s="1" t="s">
        <v>19</v>
      </c>
      <c r="O196" s="1" t="s">
        <v>20</v>
      </c>
      <c r="P196" s="4">
        <v>9.07</v>
      </c>
      <c r="Q196" s="4">
        <v>7.49</v>
      </c>
    </row>
    <row r="197" spans="1:17" x14ac:dyDescent="0.25">
      <c r="A197" s="1" t="s">
        <v>408</v>
      </c>
      <c r="B197" s="2">
        <v>45321</v>
      </c>
      <c r="C197" s="3" t="str">
        <f t="shared" si="9"/>
        <v>Jan</v>
      </c>
      <c r="D197" s="3" t="str">
        <f t="shared" si="10"/>
        <v>2024</v>
      </c>
      <c r="E197" s="1" t="s">
        <v>84</v>
      </c>
      <c r="F197" s="1" t="s">
        <v>42</v>
      </c>
      <c r="G197" s="1" t="s">
        <v>57</v>
      </c>
      <c r="H197" s="5">
        <v>6</v>
      </c>
      <c r="I197" s="6">
        <v>0</v>
      </c>
      <c r="J197" s="6">
        <v>0</v>
      </c>
      <c r="K197" s="6">
        <f t="shared" si="11"/>
        <v>0</v>
      </c>
      <c r="L197" s="1" t="s">
        <v>33</v>
      </c>
      <c r="M197" s="1" t="s">
        <v>435</v>
      </c>
      <c r="N197" s="1" t="s">
        <v>19</v>
      </c>
      <c r="O197" s="1" t="s">
        <v>20</v>
      </c>
      <c r="P197" s="4">
        <v>12.17</v>
      </c>
      <c r="Q197" s="4">
        <v>6.66</v>
      </c>
    </row>
    <row r="198" spans="1:17" x14ac:dyDescent="0.25">
      <c r="A198" s="1" t="s">
        <v>410</v>
      </c>
      <c r="B198" s="2">
        <v>45131</v>
      </c>
      <c r="C198" s="3" t="str">
        <f t="shared" si="9"/>
        <v>Jul</v>
      </c>
      <c r="D198" s="3" t="str">
        <f t="shared" si="10"/>
        <v>2023</v>
      </c>
      <c r="E198" s="1" t="s">
        <v>84</v>
      </c>
      <c r="F198" s="1" t="s">
        <v>42</v>
      </c>
      <c r="G198" s="1" t="s">
        <v>57</v>
      </c>
      <c r="H198" s="5">
        <v>27</v>
      </c>
      <c r="I198" s="6">
        <v>0</v>
      </c>
      <c r="J198" s="6">
        <v>0</v>
      </c>
      <c r="K198" s="6">
        <f t="shared" si="11"/>
        <v>0</v>
      </c>
      <c r="L198" s="1" t="s">
        <v>33</v>
      </c>
      <c r="M198" s="1" t="s">
        <v>435</v>
      </c>
      <c r="N198" s="1" t="s">
        <v>27</v>
      </c>
      <c r="O198" s="1" t="s">
        <v>44</v>
      </c>
      <c r="P198" s="4">
        <v>12.17</v>
      </c>
      <c r="Q198" s="4">
        <v>6.66</v>
      </c>
    </row>
    <row r="199" spans="1:17" x14ac:dyDescent="0.25">
      <c r="A199" s="1" t="s">
        <v>411</v>
      </c>
      <c r="B199" s="2">
        <v>45323</v>
      </c>
      <c r="C199" s="3" t="str">
        <f t="shared" si="9"/>
        <v>Feb</v>
      </c>
      <c r="D199" s="3" t="str">
        <f t="shared" si="10"/>
        <v>2024</v>
      </c>
      <c r="E199" s="1" t="s">
        <v>52</v>
      </c>
      <c r="F199" s="1" t="s">
        <v>42</v>
      </c>
      <c r="G199" s="1" t="s">
        <v>32</v>
      </c>
      <c r="H199" s="5">
        <v>5</v>
      </c>
      <c r="I199" s="6">
        <v>0</v>
      </c>
      <c r="J199" s="6">
        <v>0</v>
      </c>
      <c r="K199" s="6">
        <f t="shared" si="11"/>
        <v>0</v>
      </c>
      <c r="L199" s="1" t="s">
        <v>33</v>
      </c>
      <c r="M199" s="1" t="s">
        <v>435</v>
      </c>
      <c r="N199" s="1" t="s">
        <v>38</v>
      </c>
      <c r="O199" s="1" t="s">
        <v>44</v>
      </c>
      <c r="P199" s="4">
        <v>12.99</v>
      </c>
      <c r="Q199" s="4">
        <v>7.6</v>
      </c>
    </row>
    <row r="200" spans="1:17" x14ac:dyDescent="0.25">
      <c r="A200" s="1" t="s">
        <v>413</v>
      </c>
      <c r="B200" s="2">
        <v>45197</v>
      </c>
      <c r="C200" s="3" t="str">
        <f t="shared" si="9"/>
        <v>Sep</v>
      </c>
      <c r="D200" s="3" t="str">
        <f t="shared" si="10"/>
        <v>2023</v>
      </c>
      <c r="E200" s="1" t="s">
        <v>52</v>
      </c>
      <c r="F200" s="1" t="s">
        <v>42</v>
      </c>
      <c r="G200" s="1" t="s">
        <v>49</v>
      </c>
      <c r="H200" s="5">
        <v>4</v>
      </c>
      <c r="I200" s="6">
        <v>147203339</v>
      </c>
      <c r="J200" s="6">
        <v>95400710</v>
      </c>
      <c r="K200" s="6">
        <f t="shared" si="11"/>
        <v>51802629</v>
      </c>
      <c r="L200" s="1" t="s">
        <v>26</v>
      </c>
      <c r="M200" s="1" t="s">
        <v>434</v>
      </c>
      <c r="N200" s="1" t="s">
        <v>27</v>
      </c>
      <c r="O200" s="1" t="s">
        <v>44</v>
      </c>
      <c r="P200" s="4">
        <v>12.99</v>
      </c>
      <c r="Q200" s="4">
        <v>7.6</v>
      </c>
    </row>
    <row r="201" spans="1:17" x14ac:dyDescent="0.25">
      <c r="A201" s="1" t="s">
        <v>415</v>
      </c>
      <c r="B201" s="2">
        <v>45015</v>
      </c>
      <c r="C201" s="3" t="str">
        <f t="shared" si="9"/>
        <v>Mar</v>
      </c>
      <c r="D201" s="3" t="str">
        <f t="shared" si="10"/>
        <v>2023</v>
      </c>
      <c r="E201" s="1" t="s">
        <v>77</v>
      </c>
      <c r="F201" s="1" t="s">
        <v>31</v>
      </c>
      <c r="G201" s="1" t="s">
        <v>25</v>
      </c>
      <c r="H201" s="5">
        <v>32</v>
      </c>
      <c r="I201" s="6">
        <v>0</v>
      </c>
      <c r="J201" s="6">
        <v>0</v>
      </c>
      <c r="K201" s="6">
        <f t="shared" si="11"/>
        <v>0</v>
      </c>
      <c r="L201" s="1" t="s">
        <v>18</v>
      </c>
      <c r="M201" s="1" t="s">
        <v>433</v>
      </c>
      <c r="N201" s="1" t="s">
        <v>27</v>
      </c>
      <c r="O201" s="1" t="s">
        <v>20</v>
      </c>
      <c r="P201" s="4">
        <v>9.07</v>
      </c>
      <c r="Q201" s="4">
        <v>7.49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2B438-1BE9-4981-BF15-88CB33F4E7A2}">
  <dimension ref="A2:M23"/>
  <sheetViews>
    <sheetView showGridLines="0" workbookViewId="0">
      <selection activeCell="L11" sqref="L11"/>
    </sheetView>
  </sheetViews>
  <sheetFormatPr defaultRowHeight="15" x14ac:dyDescent="0.25"/>
  <cols>
    <col min="1" max="1" width="13.140625" bestFit="1" customWidth="1"/>
    <col min="2" max="2" width="20.7109375" bestFit="1" customWidth="1"/>
    <col min="4" max="4" width="20.7109375" bestFit="1" customWidth="1"/>
    <col min="5" max="5" width="16.28515625" bestFit="1" customWidth="1"/>
    <col min="6" max="6" width="5" bestFit="1" customWidth="1"/>
    <col min="7" max="7" width="11.28515625" bestFit="1" customWidth="1"/>
    <col min="8" max="8" width="4.140625" bestFit="1" customWidth="1"/>
    <col min="9" max="9" width="20" bestFit="1" customWidth="1"/>
    <col min="10" max="10" width="20.7109375" bestFit="1" customWidth="1"/>
    <col min="11" max="11" width="7.42578125" customWidth="1"/>
    <col min="12" max="12" width="14.28515625" bestFit="1" customWidth="1"/>
    <col min="13" max="13" width="20.7109375" bestFit="1" customWidth="1"/>
    <col min="14" max="14" width="11.28515625" bestFit="1" customWidth="1"/>
    <col min="15" max="15" width="4.5703125" bestFit="1" customWidth="1"/>
    <col min="16" max="16" width="4.28515625" bestFit="1" customWidth="1"/>
    <col min="17" max="17" width="11.28515625" bestFit="1" customWidth="1"/>
  </cols>
  <sheetData>
    <row r="2" spans="1:13" x14ac:dyDescent="0.25">
      <c r="A2" s="7" t="s">
        <v>419</v>
      </c>
      <c r="B2" t="s">
        <v>421</v>
      </c>
      <c r="D2" s="7" t="s">
        <v>421</v>
      </c>
      <c r="E2" s="7" t="s">
        <v>422</v>
      </c>
      <c r="I2" s="7" t="s">
        <v>419</v>
      </c>
      <c r="J2" t="s">
        <v>421</v>
      </c>
      <c r="K2" s="8"/>
      <c r="L2" s="7" t="s">
        <v>419</v>
      </c>
      <c r="M2" t="s">
        <v>421</v>
      </c>
    </row>
    <row r="3" spans="1:13" x14ac:dyDescent="0.25">
      <c r="A3" s="8" t="s">
        <v>77</v>
      </c>
      <c r="B3" s="5">
        <v>549</v>
      </c>
      <c r="D3" s="7" t="s">
        <v>419</v>
      </c>
      <c r="E3" t="s">
        <v>436</v>
      </c>
      <c r="F3" t="s">
        <v>423</v>
      </c>
      <c r="G3" t="s">
        <v>420</v>
      </c>
      <c r="I3" s="8" t="s">
        <v>42</v>
      </c>
      <c r="J3" s="5">
        <v>1444</v>
      </c>
      <c r="K3" s="8"/>
      <c r="L3" s="8" t="s">
        <v>435</v>
      </c>
      <c r="M3" s="5">
        <v>1802</v>
      </c>
    </row>
    <row r="4" spans="1:13" x14ac:dyDescent="0.25">
      <c r="A4" s="8" t="s">
        <v>41</v>
      </c>
      <c r="B4" s="5">
        <v>516</v>
      </c>
      <c r="D4" s="8" t="s">
        <v>424</v>
      </c>
      <c r="E4" s="5">
        <v>379</v>
      </c>
      <c r="F4" s="5">
        <v>292</v>
      </c>
      <c r="G4" s="5">
        <v>671</v>
      </c>
      <c r="I4" s="8" t="s">
        <v>31</v>
      </c>
      <c r="J4" s="5">
        <v>811</v>
      </c>
      <c r="K4" s="8"/>
      <c r="L4" s="8" t="s">
        <v>434</v>
      </c>
      <c r="M4" s="5">
        <v>1184</v>
      </c>
    </row>
    <row r="5" spans="1:13" x14ac:dyDescent="0.25">
      <c r="A5" s="8" t="s">
        <v>84</v>
      </c>
      <c r="B5" s="5">
        <v>446</v>
      </c>
      <c r="D5" s="8" t="s">
        <v>425</v>
      </c>
      <c r="E5" s="5">
        <v>197</v>
      </c>
      <c r="F5" s="5">
        <v>216</v>
      </c>
      <c r="G5" s="5">
        <v>413</v>
      </c>
      <c r="I5" s="8" t="s">
        <v>61</v>
      </c>
      <c r="J5" s="5">
        <v>693</v>
      </c>
      <c r="K5" s="8"/>
      <c r="L5" s="8" t="s">
        <v>433</v>
      </c>
      <c r="M5" s="5">
        <v>1148</v>
      </c>
    </row>
    <row r="6" spans="1:13" x14ac:dyDescent="0.25">
      <c r="A6" s="8" t="s">
        <v>67</v>
      </c>
      <c r="B6" s="5">
        <v>347</v>
      </c>
      <c r="D6" s="8" t="s">
        <v>426</v>
      </c>
      <c r="E6" s="5">
        <v>422</v>
      </c>
      <c r="F6" s="5">
        <v>241</v>
      </c>
      <c r="G6" s="5">
        <v>663</v>
      </c>
      <c r="I6" s="8" t="s">
        <v>24</v>
      </c>
      <c r="J6" s="5">
        <v>513</v>
      </c>
      <c r="K6" s="8"/>
      <c r="L6" s="8" t="s">
        <v>420</v>
      </c>
      <c r="M6" s="5">
        <v>4134</v>
      </c>
    </row>
    <row r="7" spans="1:13" x14ac:dyDescent="0.25">
      <c r="A7" s="8" t="s">
        <v>15</v>
      </c>
      <c r="B7" s="5">
        <v>326</v>
      </c>
      <c r="D7" s="8" t="s">
        <v>427</v>
      </c>
      <c r="E7" s="5">
        <v>160</v>
      </c>
      <c r="F7" s="5">
        <v>120</v>
      </c>
      <c r="G7" s="5">
        <v>280</v>
      </c>
      <c r="I7" s="8" t="s">
        <v>68</v>
      </c>
      <c r="J7" s="5">
        <v>347</v>
      </c>
      <c r="K7" s="8"/>
      <c r="L7" s="8"/>
      <c r="M7" s="5"/>
    </row>
    <row r="8" spans="1:13" x14ac:dyDescent="0.25">
      <c r="A8" s="8" t="s">
        <v>37</v>
      </c>
      <c r="B8" s="5">
        <v>318</v>
      </c>
      <c r="D8" s="8" t="s">
        <v>428</v>
      </c>
      <c r="E8" s="5">
        <v>331</v>
      </c>
      <c r="F8" s="5">
        <v>120</v>
      </c>
      <c r="G8" s="5">
        <v>451</v>
      </c>
      <c r="I8" s="8" t="s">
        <v>16</v>
      </c>
      <c r="J8" s="5">
        <v>326</v>
      </c>
      <c r="K8" s="8"/>
      <c r="L8" s="8" t="s">
        <v>444</v>
      </c>
      <c r="M8" s="5"/>
    </row>
    <row r="9" spans="1:13" x14ac:dyDescent="0.25">
      <c r="A9" s="8" t="s">
        <v>60</v>
      </c>
      <c r="B9" s="5">
        <v>271</v>
      </c>
      <c r="D9" s="8" t="s">
        <v>437</v>
      </c>
      <c r="E9" s="5">
        <v>175</v>
      </c>
      <c r="F9" s="5"/>
      <c r="G9" s="5">
        <v>175</v>
      </c>
      <c r="I9" s="8" t="s">
        <v>420</v>
      </c>
      <c r="J9" s="5">
        <v>4134</v>
      </c>
      <c r="K9" s="8"/>
      <c r="L9" s="10">
        <f>SUM(Clean_data!H:H)</f>
        <v>4134</v>
      </c>
      <c r="M9" s="5"/>
    </row>
    <row r="10" spans="1:13" x14ac:dyDescent="0.25">
      <c r="A10" s="8" t="s">
        <v>30</v>
      </c>
      <c r="B10" s="5">
        <v>262</v>
      </c>
      <c r="D10" s="8" t="s">
        <v>438</v>
      </c>
      <c r="E10" s="5">
        <v>230</v>
      </c>
      <c r="F10" s="5"/>
      <c r="G10" s="5">
        <v>230</v>
      </c>
      <c r="J10" s="8"/>
      <c r="K10" s="8"/>
      <c r="L10" s="8"/>
      <c r="M10" s="5"/>
    </row>
    <row r="11" spans="1:13" x14ac:dyDescent="0.25">
      <c r="A11" s="8" t="s">
        <v>72</v>
      </c>
      <c r="B11" s="5">
        <v>257</v>
      </c>
      <c r="D11" s="8" t="s">
        <v>439</v>
      </c>
      <c r="E11" s="5">
        <v>243</v>
      </c>
      <c r="F11" s="5"/>
      <c r="G11" s="5">
        <v>243</v>
      </c>
      <c r="I11" s="7" t="s">
        <v>419</v>
      </c>
      <c r="J11" t="s">
        <v>421</v>
      </c>
      <c r="K11" s="8"/>
      <c r="L11" s="8"/>
      <c r="M11" s="5"/>
    </row>
    <row r="12" spans="1:13" x14ac:dyDescent="0.25">
      <c r="A12" s="8" t="s">
        <v>64</v>
      </c>
      <c r="B12" s="5">
        <v>243</v>
      </c>
      <c r="D12" s="8" t="s">
        <v>440</v>
      </c>
      <c r="E12" s="5">
        <v>300</v>
      </c>
      <c r="F12" s="5"/>
      <c r="G12" s="5">
        <v>300</v>
      </c>
      <c r="I12" s="8" t="s">
        <v>69</v>
      </c>
      <c r="J12" s="5">
        <v>435</v>
      </c>
      <c r="K12" s="8"/>
      <c r="L12" s="8"/>
      <c r="M12" s="5"/>
    </row>
    <row r="13" spans="1:13" x14ac:dyDescent="0.25">
      <c r="A13" s="8" t="s">
        <v>52</v>
      </c>
      <c r="B13" s="5">
        <v>239</v>
      </c>
      <c r="D13" s="8" t="s">
        <v>441</v>
      </c>
      <c r="E13" s="5">
        <v>276</v>
      </c>
      <c r="F13" s="5"/>
      <c r="G13" s="5">
        <v>276</v>
      </c>
      <c r="I13" s="8" t="s">
        <v>32</v>
      </c>
      <c r="J13" s="5">
        <v>824</v>
      </c>
      <c r="K13" s="8"/>
      <c r="L13" s="8"/>
      <c r="M13" s="5"/>
    </row>
    <row r="14" spans="1:13" x14ac:dyDescent="0.25">
      <c r="A14" s="8" t="s">
        <v>23</v>
      </c>
      <c r="B14" s="5">
        <v>195</v>
      </c>
      <c r="D14" s="8" t="s">
        <v>442</v>
      </c>
      <c r="E14" s="5">
        <v>177</v>
      </c>
      <c r="F14" s="5"/>
      <c r="G14" s="5">
        <v>177</v>
      </c>
      <c r="I14" s="8" t="s">
        <v>49</v>
      </c>
      <c r="J14" s="5">
        <v>544</v>
      </c>
      <c r="K14" s="8"/>
      <c r="L14" s="8"/>
      <c r="M14" s="5"/>
    </row>
    <row r="15" spans="1:13" x14ac:dyDescent="0.25">
      <c r="A15" s="8" t="s">
        <v>87</v>
      </c>
      <c r="B15" s="5">
        <v>165</v>
      </c>
      <c r="D15" s="8" t="s">
        <v>443</v>
      </c>
      <c r="E15" s="5">
        <v>255</v>
      </c>
      <c r="F15" s="5"/>
      <c r="G15" s="5">
        <v>255</v>
      </c>
      <c r="I15" s="8" t="s">
        <v>57</v>
      </c>
      <c r="J15" s="5">
        <v>705</v>
      </c>
    </row>
    <row r="16" spans="1:13" x14ac:dyDescent="0.25">
      <c r="A16" s="8" t="s">
        <v>420</v>
      </c>
      <c r="B16" s="5">
        <v>4134</v>
      </c>
      <c r="D16" s="8" t="s">
        <v>420</v>
      </c>
      <c r="E16" s="5">
        <v>3145</v>
      </c>
      <c r="F16" s="5">
        <v>989</v>
      </c>
      <c r="G16" s="5">
        <v>4134</v>
      </c>
      <c r="I16" s="8" t="s">
        <v>25</v>
      </c>
      <c r="J16" s="5">
        <v>761</v>
      </c>
      <c r="K16" s="9"/>
    </row>
    <row r="17" spans="1:12" x14ac:dyDescent="0.25">
      <c r="I17" s="8" t="s">
        <v>43</v>
      </c>
      <c r="J17" s="5">
        <v>305</v>
      </c>
    </row>
    <row r="18" spans="1:12" x14ac:dyDescent="0.25">
      <c r="A18" s="7" t="s">
        <v>419</v>
      </c>
      <c r="B18" t="s">
        <v>421</v>
      </c>
      <c r="D18" s="7" t="s">
        <v>419</v>
      </c>
      <c r="E18" t="s">
        <v>421</v>
      </c>
      <c r="I18" s="8" t="s">
        <v>17</v>
      </c>
      <c r="J18" s="5">
        <v>560</v>
      </c>
    </row>
    <row r="19" spans="1:12" x14ac:dyDescent="0.25">
      <c r="A19" s="8" t="s">
        <v>44</v>
      </c>
      <c r="B19" s="5">
        <v>2444</v>
      </c>
      <c r="D19" s="8" t="s">
        <v>33</v>
      </c>
      <c r="E19" s="5">
        <v>1000</v>
      </c>
      <c r="I19" s="8" t="s">
        <v>420</v>
      </c>
      <c r="J19" s="5">
        <v>4134</v>
      </c>
      <c r="L19" s="6"/>
    </row>
    <row r="20" spans="1:12" x14ac:dyDescent="0.25">
      <c r="A20" s="8" t="s">
        <v>20</v>
      </c>
      <c r="B20" s="5">
        <v>1690</v>
      </c>
      <c r="D20" s="8" t="s">
        <v>18</v>
      </c>
      <c r="E20" s="5">
        <v>1148</v>
      </c>
    </row>
    <row r="21" spans="1:12" x14ac:dyDescent="0.25">
      <c r="A21" s="8" t="s">
        <v>420</v>
      </c>
      <c r="B21" s="5">
        <v>4134</v>
      </c>
      <c r="D21" s="8" t="s">
        <v>26</v>
      </c>
      <c r="E21" s="5">
        <v>1184</v>
      </c>
      <c r="I21" t="s">
        <v>429</v>
      </c>
      <c r="J21" s="6">
        <f>SUM(Clean_data!I:I)</f>
        <v>7698737693</v>
      </c>
    </row>
    <row r="22" spans="1:12" x14ac:dyDescent="0.25">
      <c r="D22" s="8" t="s">
        <v>90</v>
      </c>
      <c r="E22" s="5">
        <v>802</v>
      </c>
      <c r="I22" t="s">
        <v>430</v>
      </c>
      <c r="J22" s="6">
        <f>SUM(Clean_data!J:J)</f>
        <v>3088081550</v>
      </c>
      <c r="L22" s="6"/>
    </row>
    <row r="23" spans="1:12" x14ac:dyDescent="0.25">
      <c r="D23" s="8" t="s">
        <v>420</v>
      </c>
      <c r="E23" s="5">
        <v>4134</v>
      </c>
      <c r="I23" t="s">
        <v>431</v>
      </c>
      <c r="J23" s="6">
        <f>SUM(Clean_data!K:K)</f>
        <v>4610656143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7E066-AAA3-4304-BC40-19986B139069}">
  <dimension ref="A1"/>
  <sheetViews>
    <sheetView showGridLines="0" workbookViewId="0">
      <selection activeCell="Q11" sqref="Q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363EF-A076-459F-B5D6-D21CDDA7B626}">
  <dimension ref="A1"/>
  <sheetViews>
    <sheetView showGridLines="0" tabSelected="1" workbookViewId="0">
      <selection activeCell="U8" sqref="U8"/>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raw_data</vt:lpstr>
      <vt:lpstr>Clean_data</vt:lpstr>
      <vt:lpstr>Analysis</vt:lpstr>
      <vt:lpstr>Dashbord</vt:lpstr>
      <vt:lpstr>Key Insight and Recommendation</vt:lpstr>
      <vt:lpstr>DEMANDED</vt:lpstr>
      <vt:lpstr>GAP</vt:lpstr>
      <vt:lpstr>PAID</vt:lpstr>
      <vt:lpstr>total</vt:lpstr>
      <vt:lpstr>VICTIMS_COUNT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Lamunu Sundra Monica</cp:lastModifiedBy>
  <dcterms:created xsi:type="dcterms:W3CDTF">2026-04-10T16:10:27Z</dcterms:created>
  <dcterms:modified xsi:type="dcterms:W3CDTF">2026-04-29T16:21:54Z</dcterms:modified>
</cp:coreProperties>
</file>